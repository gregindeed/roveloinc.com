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Summary" sheetId="1" state="visible" r:id="rId1"/>
    <sheet name="Checking - Deposits" sheetId="2" state="visible" r:id="rId2"/>
    <sheet name="Checking - Expenses" sheetId="3" state="visible" r:id="rId3"/>
    <sheet name="Credit C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555555"/>
      <sz val="9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FF0000"/>
      <sz val="9"/>
    </font>
    <font>
      <name val="Arial"/>
      <i val="1"/>
      <color rgb="00555555"/>
      <sz val="8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right" vertical="center"/>
    </xf>
    <xf numFmtId="0" fontId="6" fillId="4" borderId="0" pivotButton="0" quotePrefix="0" xfId="0"/>
    <xf numFmtId="0" fontId="4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0" fontId="6" fillId="5" borderId="0" pivotButton="0" quotePrefix="0" xfId="0"/>
    <xf numFmtId="0" fontId="7" fillId="6" borderId="0" pivotButton="0" quotePrefix="0" xfId="0"/>
    <xf numFmtId="164" fontId="7" fillId="6" borderId="0" applyAlignment="1" pivotButton="0" quotePrefix="0" xfId="0">
      <alignment horizontal="right" vertical="center"/>
    </xf>
    <xf numFmtId="0" fontId="0" fillId="6" borderId="0" pivotButton="0" quotePrefix="0" xfId="0"/>
    <xf numFmtId="0" fontId="8" fillId="2" borderId="0" pivotButton="0" quotePrefix="0" xfId="0"/>
    <xf numFmtId="164" fontId="8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9" fillId="2" borderId="0" pivotButton="0" quotePrefix="0" xfId="0"/>
    <xf numFmtId="164" fontId="9" fillId="2" borderId="0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12" fillId="5" borderId="0" pivotButton="0" quotePrefix="0" xfId="0"/>
    <xf numFmtId="164" fontId="5" fillId="5" borderId="0" applyAlignment="1" pivotButton="0" quotePrefix="0" xfId="0">
      <alignment horizontal="right"/>
    </xf>
    <xf numFmtId="164" fontId="12" fillId="5" borderId="0" applyAlignment="1" pivotButton="0" quotePrefix="0" xfId="0">
      <alignment horizontal="right"/>
    </xf>
    <xf numFmtId="0" fontId="12" fillId="4" borderId="0" pivotButton="0" quotePrefix="0" xfId="0"/>
    <xf numFmtId="164" fontId="5" fillId="4" borderId="0" applyAlignment="1" pivotButton="0" quotePrefix="0" xfId="0">
      <alignment horizontal="right"/>
    </xf>
    <xf numFmtId="164" fontId="12" fillId="4" borderId="0" applyAlignment="1" pivotButton="0" quotePrefix="0" xfId="0">
      <alignment horizontal="right"/>
    </xf>
    <xf numFmtId="0" fontId="13" fillId="6" borderId="0" pivotButton="0" quotePrefix="0" xfId="0"/>
    <xf numFmtId="164" fontId="13" fillId="6" borderId="0" applyAlignment="1" pivotButton="0" quotePrefix="0" xfId="0">
      <alignment horizontal="right"/>
    </xf>
    <xf numFmtId="0" fontId="12" fillId="5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3" fillId="8" borderId="0" pivotButton="0" quotePrefix="0" xfId="0"/>
    <xf numFmtId="0" fontId="13" fillId="8" borderId="0" applyAlignment="1" pivotButton="0" quotePrefix="0" xfId="0">
      <alignment horizontal="center"/>
    </xf>
    <xf numFmtId="164" fontId="7" fillId="8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</cols>
  <sheetData>
    <row r="1" ht="30" customHeight="1">
      <c r="A1" s="1" t="inlineStr">
        <is>
          <t>REYES TIRES, INC — APRIL 2026 FINANCIAL SUMMARY</t>
        </is>
      </c>
    </row>
    <row r="2" ht="18" customHeight="1">
      <c r="A2" s="2" t="inlineStr">
        <is>
          <t>For the Month Ended April 30, 2026</t>
        </is>
      </c>
    </row>
    <row r="3" ht="18" customHeight="1">
      <c r="A3" s="3" t="inlineStr">
        <is>
          <t>Line Item</t>
        </is>
      </c>
      <c r="B3" s="3" t="inlineStr">
        <is>
          <t>Amount</t>
        </is>
      </c>
      <c r="C3" s="3" t="inlineStr">
        <is>
          <t>Notes</t>
        </is>
      </c>
    </row>
    <row r="4" ht="16" customHeight="1">
      <c r="A4" s="4" t="inlineStr">
        <is>
          <t>REVENUE</t>
        </is>
      </c>
    </row>
    <row r="5" ht="15" customHeight="1">
      <c r="A5" s="5" t="inlineStr">
        <is>
          <t xml:space="preserve">    Card Sales (EPX)</t>
        </is>
      </c>
      <c r="B5" s="6" t="n">
        <v>21933.52</v>
      </c>
      <c r="C5" s="7" t="inlineStr">
        <is>
          <t>EPX merchant settlements</t>
        </is>
      </c>
    </row>
    <row r="6" ht="15" customHeight="1">
      <c r="A6" s="8" t="inlineStr">
        <is>
          <t xml:space="preserve">    Zelle Payments</t>
        </is>
      </c>
      <c r="B6" s="9" t="n">
        <v>7090</v>
      </c>
      <c r="C6" s="10" t="inlineStr">
        <is>
          <t>Zelle received from customers</t>
        </is>
      </c>
    </row>
    <row r="7" ht="15" customHeight="1">
      <c r="A7" s="5" t="inlineStr">
        <is>
          <t xml:space="preserve">    Check Deposits</t>
        </is>
      </c>
      <c r="B7" s="6" t="n">
        <v>4480</v>
      </c>
      <c r="C7" s="7" t="inlineStr">
        <is>
          <t>Mobile check deposits</t>
        </is>
      </c>
    </row>
    <row r="8" ht="15" customHeight="1">
      <c r="A8" s="8" t="inlineStr">
        <is>
          <t xml:space="preserve">    Other (refunds/returns)</t>
        </is>
      </c>
      <c r="B8" s="9" t="n">
        <v>2920.99</v>
      </c>
      <c r="C8" s="10" t="inlineStr">
        <is>
          <t>Amazon refund + bounced check return + overdraft transfer</t>
        </is>
      </c>
    </row>
    <row r="9" ht="16" customHeight="1">
      <c r="A9" s="11" t="inlineStr">
        <is>
          <t xml:space="preserve">  TOTAL REVENUE</t>
        </is>
      </c>
      <c r="B9" s="12">
        <f>SUM(B5:B8)</f>
        <v/>
      </c>
      <c r="C9" s="13" t="n"/>
    </row>
    <row r="10" ht="16" customHeight="1">
      <c r="A10" s="4" t="inlineStr">
        <is>
          <t>COST OF GOODS SOLD</t>
        </is>
      </c>
    </row>
    <row r="11" ht="15" customHeight="1">
      <c r="A11" s="5" t="inlineStr">
        <is>
          <t xml:space="preserve">    Inventory - Tires</t>
        </is>
      </c>
      <c r="B11" s="6" t="n">
        <v>10384.34</v>
      </c>
      <c r="C11" s="7" t="inlineStr">
        <is>
          <t>Tire purchases from vendors</t>
        </is>
      </c>
    </row>
    <row r="12" ht="15" customHeight="1">
      <c r="A12" s="8" t="inlineStr">
        <is>
          <t xml:space="preserve">    Inventory - Parts &amp; Supplies</t>
        </is>
      </c>
      <c r="B12" s="9" t="n">
        <v>3941.5</v>
      </c>
      <c r="C12" s="10" t="inlineStr">
        <is>
          <t>Parts, supplies, wholesale</t>
        </is>
      </c>
    </row>
    <row r="13" ht="16" customHeight="1">
      <c r="A13" s="11" t="inlineStr">
        <is>
          <t xml:space="preserve">  TOTAL COGS</t>
        </is>
      </c>
      <c r="B13" s="12">
        <f>SUM(B11:B12)</f>
        <v/>
      </c>
      <c r="C13" s="13" t="n"/>
    </row>
    <row r="14" ht="6" customHeight="1">
      <c r="A14" t="inlineStr"/>
    </row>
    <row r="15" ht="20" customHeight="1">
      <c r="A15" s="14" t="inlineStr">
        <is>
          <t>GROSS PROFIT</t>
        </is>
      </c>
      <c r="B15" s="15">
        <f>B9-B13</f>
        <v/>
      </c>
      <c r="C15" s="16" t="n"/>
    </row>
    <row r="16" ht="16" customHeight="1">
      <c r="A16" s="4" t="inlineStr">
        <is>
          <t>OPERATING EXPENSES</t>
        </is>
      </c>
    </row>
    <row r="17" ht="15" customHeight="1">
      <c r="A17" s="5" t="inlineStr">
        <is>
          <t xml:space="preserve">    Payroll - Wages</t>
        </is>
      </c>
      <c r="B17" s="6" t="n">
        <v>9881.6</v>
      </c>
      <c r="C17" s="7" t="inlineStr">
        <is>
          <t>ADP Wage Pay (5 payrolls × $1,976.32)</t>
        </is>
      </c>
    </row>
    <row r="18" ht="15" customHeight="1">
      <c r="A18" s="8" t="inlineStr">
        <is>
          <t xml:space="preserve">    Payroll - Taxes</t>
        </is>
      </c>
      <c r="B18" s="9" t="n">
        <v>2430.72</v>
      </c>
      <c r="C18" s="10" t="inlineStr">
        <is>
          <t>ADP Tax deposits (4 × $607.68)</t>
        </is>
      </c>
    </row>
    <row r="19" ht="15" customHeight="1">
      <c r="A19" s="5" t="inlineStr">
        <is>
          <t xml:space="preserve">    Payroll - 401k</t>
        </is>
      </c>
      <c r="B19" s="6" t="n">
        <v>150</v>
      </c>
      <c r="C19" s="7" t="inlineStr">
        <is>
          <t>ADP 401k (5 × $30.00)</t>
        </is>
      </c>
    </row>
    <row r="20" ht="15" customHeight="1">
      <c r="A20" s="8" t="inlineStr">
        <is>
          <t xml:space="preserve">    Payroll - Workers Comp</t>
        </is>
      </c>
      <c r="B20" s="9" t="n">
        <v>513.6900000000001</v>
      </c>
      <c r="C20" s="10" t="inlineStr">
        <is>
          <t>ADP Pay-By-Pay insurance</t>
        </is>
      </c>
    </row>
    <row r="21" ht="15" customHeight="1">
      <c r="A21" s="5" t="inlineStr">
        <is>
          <t xml:space="preserve">    Payroll - Processing Fees</t>
        </is>
      </c>
      <c r="B21" s="6" t="n">
        <v>562</v>
      </c>
      <c r="C21" s="7" t="inlineStr">
        <is>
          <t>ADP processing fees</t>
        </is>
      </c>
    </row>
    <row r="22" ht="15" customHeight="1">
      <c r="A22" s="8" t="inlineStr">
        <is>
          <t xml:space="preserve">    Rent</t>
        </is>
      </c>
      <c r="B22" s="9" t="n">
        <v>3400</v>
      </c>
      <c r="C22" s="10" t="inlineStr">
        <is>
          <t>Basil Hosmer — Check #4072</t>
        </is>
      </c>
    </row>
    <row r="23" ht="15" customHeight="1">
      <c r="A23" s="5" t="inlineStr">
        <is>
          <t xml:space="preserve">    Insurance - Business</t>
        </is>
      </c>
      <c r="B23" s="6" t="n">
        <v>1138.82</v>
      </c>
      <c r="C23" s="7" t="inlineStr">
        <is>
          <t>TAPCO Insurance</t>
        </is>
      </c>
    </row>
    <row r="24" ht="15" customHeight="1">
      <c r="A24" s="8" t="inlineStr">
        <is>
          <t xml:space="preserve">    Equipment Lease</t>
        </is>
      </c>
      <c r="B24" s="9" t="n">
        <v>741.95</v>
      </c>
      <c r="C24" s="10" t="inlineStr">
        <is>
          <t>TimePaymentcorp</t>
        </is>
      </c>
    </row>
    <row r="25" ht="15" customHeight="1">
      <c r="A25" s="5" t="inlineStr">
        <is>
          <t xml:space="preserve">    Vehicle - Loan Payment</t>
        </is>
      </c>
      <c r="B25" s="6" t="n">
        <v>326.39</v>
      </c>
      <c r="C25" s="7" t="inlineStr">
        <is>
          <t>Toyota Financial</t>
        </is>
      </c>
    </row>
    <row r="26" ht="15" customHeight="1">
      <c r="A26" s="8" t="inlineStr">
        <is>
          <t xml:space="preserve">    Vehicle - Repairs &amp; Parts</t>
        </is>
      </c>
      <c r="B26" s="9" t="n">
        <v>133.52</v>
      </c>
      <c r="C26" s="10" t="inlineStr">
        <is>
          <t>BMW El Cajon</t>
        </is>
      </c>
    </row>
    <row r="27" ht="15" customHeight="1">
      <c r="A27" s="5" t="inlineStr">
        <is>
          <t xml:space="preserve">    Utilities - Phone</t>
        </is>
      </c>
      <c r="B27" s="6" t="n">
        <v>244.89</v>
      </c>
      <c r="C27" s="7" t="inlineStr">
        <is>
          <t>AT&amp;T</t>
        </is>
      </c>
    </row>
    <row r="28" ht="15" customHeight="1">
      <c r="A28" s="8" t="inlineStr">
        <is>
          <t xml:space="preserve">    Utilities - Internet (CC)</t>
        </is>
      </c>
      <c r="B28" s="9" t="n">
        <v>110.17</v>
      </c>
      <c r="C28" s="10" t="inlineStr">
        <is>
          <t>Cox Communications — CC ...0214</t>
        </is>
      </c>
    </row>
    <row r="29" ht="15" customHeight="1">
      <c r="A29" s="5" t="inlineStr">
        <is>
          <t xml:space="preserve">    Security System (CC)</t>
        </is>
      </c>
      <c r="B29" s="6" t="n">
        <v>98.08</v>
      </c>
      <c r="C29" s="7" t="inlineStr">
        <is>
          <t>ADT Security — CC ...6514</t>
        </is>
      </c>
    </row>
    <row r="30" ht="15" customHeight="1">
      <c r="A30" s="8" t="inlineStr">
        <is>
          <t xml:space="preserve">    Merchant Processing Fees</t>
        </is>
      </c>
      <c r="B30" s="9" t="n">
        <v>52.66</v>
      </c>
      <c r="C30" s="10" t="inlineStr">
        <is>
          <t>EPX + FDMS fees</t>
        </is>
      </c>
    </row>
    <row r="31" ht="15" customHeight="1">
      <c r="A31" s="5" t="inlineStr">
        <is>
          <t xml:space="preserve">    Bank Fees</t>
        </is>
      </c>
      <c r="B31" s="6" t="n">
        <v>18.7</v>
      </c>
      <c r="C31" s="7" t="inlineStr">
        <is>
          <t>Monthly + excess transaction fees</t>
        </is>
      </c>
    </row>
    <row r="32" ht="15" customHeight="1">
      <c r="A32" s="8" t="inlineStr">
        <is>
          <t xml:space="preserve">    Professional Services - Tax</t>
        </is>
      </c>
      <c r="B32" s="9" t="n">
        <v>420</v>
      </c>
      <c r="C32" s="10" t="inlineStr">
        <is>
          <t>A to Z Tax Firm — CC ...0214</t>
        </is>
      </c>
    </row>
    <row r="33" ht="15" customHeight="1">
      <c r="A33" s="5" t="inlineStr">
        <is>
          <t xml:space="preserve">    Labor / Subcontractors</t>
        </is>
      </c>
      <c r="B33" s="6" t="n">
        <v>460</v>
      </c>
      <c r="C33" s="7" t="inlineStr">
        <is>
          <t>GW labor + Zelle to Teo</t>
        </is>
      </c>
    </row>
    <row r="34" ht="15" customHeight="1">
      <c r="A34" s="8" t="inlineStr">
        <is>
          <t xml:space="preserve">    Licenses &amp; Permits</t>
        </is>
      </c>
      <c r="B34" s="9" t="n">
        <v>250</v>
      </c>
      <c r="C34" s="10" t="inlineStr">
        <is>
          <t>Bureau of Auto Repair — Check #4071</t>
        </is>
      </c>
    </row>
    <row r="35" ht="15" customHeight="1">
      <c r="A35" s="5" t="inlineStr">
        <is>
          <t xml:space="preserve">    Transportation - Tolls</t>
        </is>
      </c>
      <c r="B35" s="6" t="n">
        <v>2.5</v>
      </c>
      <c r="C35" s="7" t="inlineStr">
        <is>
          <t>SANDAG FasTrak</t>
        </is>
      </c>
    </row>
    <row r="36" ht="15" customHeight="1">
      <c r="A36" s="8" t="inlineStr">
        <is>
          <t xml:space="preserve">    Meals &amp; Entertainment</t>
        </is>
      </c>
      <c r="B36" s="9" t="n">
        <v>95.37</v>
      </c>
      <c r="C36" s="10" t="inlineStr">
        <is>
          <t>Gladly Coffee + Snapdragon Stadium</t>
        </is>
      </c>
    </row>
    <row r="37" ht="15" customHeight="1">
      <c r="A37" s="5" t="inlineStr">
        <is>
          <t xml:space="preserve">    Finance Charges (CC)</t>
        </is>
      </c>
      <c r="B37" s="6" t="n">
        <v>211.76</v>
      </c>
      <c r="C37" s="7" t="inlineStr">
        <is>
          <t>CC ...0214 $63.07 + ...0539 $51.72 + ...6514 $96.97</t>
        </is>
      </c>
    </row>
    <row r="38" ht="15" customHeight="1">
      <c r="A38" s="8" t="inlineStr">
        <is>
          <t xml:space="preserve">    Miscellaneous</t>
        </is>
      </c>
      <c r="B38" s="9" t="n">
        <v>530.6</v>
      </c>
      <c r="C38" s="10" t="inlineStr">
        <is>
          <t>Infinity Kat $400.60 + LGND SOCAL $130.00</t>
        </is>
      </c>
    </row>
    <row r="39" ht="15" customHeight="1">
      <c r="A39" s="5" t="inlineStr">
        <is>
          <t xml:space="preserve">    Owner Draw</t>
        </is>
      </c>
      <c r="B39" s="6" t="n">
        <v>700</v>
      </c>
      <c r="C39" s="7" t="inlineStr">
        <is>
          <t>Francisco Reyes — Check #4092</t>
        </is>
      </c>
    </row>
    <row r="40" ht="16" customHeight="1">
      <c r="A40" s="11" t="inlineStr">
        <is>
          <t xml:space="preserve">  TOTAL OPERATING EXPENSES</t>
        </is>
      </c>
      <c r="B40" s="12">
        <f>SUM(B17:B39)</f>
        <v/>
      </c>
      <c r="C40" s="13" t="n"/>
    </row>
    <row r="41" ht="6" customHeight="1">
      <c r="A41" t="inlineStr"/>
    </row>
    <row r="42" ht="22" customHeight="1">
      <c r="A42" s="17" t="inlineStr">
        <is>
          <t>NET INCOME</t>
        </is>
      </c>
      <c r="B42" s="18">
        <f>B15-B40</f>
        <v/>
      </c>
      <c r="C42" s="16" t="n"/>
    </row>
    <row r="43" ht="8" customHeight="1"/>
    <row r="44" ht="28" customHeight="1">
      <c r="A44" s="19" t="inlineStr">
        <is>
          <t>⚠️ Personal charges on business CC (~$1,107.26) require owner review and are NOT included in above figures.</t>
        </is>
      </c>
    </row>
    <row r="45" ht="14" customHeight="1">
      <c r="A45" s="20" t="inlineStr">
        <is>
          <t>Source: Bank of America Checking Statement April 2026 + BofA Visa Credit Card Statements April 2026</t>
        </is>
      </c>
    </row>
  </sheetData>
  <mergeCells count="9">
    <mergeCell ref="A10:C10"/>
    <mergeCell ref="A41:C41"/>
    <mergeCell ref="A44:C44"/>
    <mergeCell ref="A1:C1"/>
    <mergeCell ref="A16:C16"/>
    <mergeCell ref="A45:C45"/>
    <mergeCell ref="A14:C14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26" customWidth="1" min="4" max="4"/>
    <col width="16" customWidth="1" min="5" max="5"/>
    <col width="4" customWidth="1" min="6" max="6"/>
    <col width="4" customWidth="1" min="7" max="7"/>
    <col width="28" customWidth="1" min="8" max="8"/>
    <col width="16" customWidth="1" min="9" max="9"/>
  </cols>
  <sheetData>
    <row r="1" ht="26" customHeight="1">
      <c r="A1" s="21" t="inlineStr">
        <is>
          <t>REYES TIRES, INC — CHECKING ACCOUNT DEPOSITS — APRIL 2026</t>
        </is>
      </c>
    </row>
    <row r="2" ht="16" customHeight="1">
      <c r="A2" s="3" t="inlineStr">
        <is>
          <t>Date</t>
        </is>
      </c>
      <c r="B2" s="3" t="inlineStr">
        <is>
          <t>Description</t>
        </is>
      </c>
      <c r="C2" s="3" t="inlineStr">
        <is>
          <t>Type</t>
        </is>
      </c>
      <c r="D2" s="3" t="inlineStr">
        <is>
          <t>Category</t>
        </is>
      </c>
      <c r="E2" s="3" t="inlineStr">
        <is>
          <t>Amount</t>
        </is>
      </c>
      <c r="H2" s="22" t="inlineStr">
        <is>
          <t>Category</t>
        </is>
      </c>
      <c r="I2" s="22" t="inlineStr">
        <is>
          <t>Total</t>
        </is>
      </c>
    </row>
    <row r="3" ht="15" customHeight="1">
      <c r="A3" s="23" t="inlineStr">
        <is>
          <t>04/01/2026</t>
        </is>
      </c>
      <c r="B3" s="23" t="inlineStr">
        <is>
          <t>EPX Merchant Settlement</t>
        </is>
      </c>
      <c r="C3" s="23" t="inlineStr">
        <is>
          <t>EPX Settlement</t>
        </is>
      </c>
      <c r="D3" s="23" t="inlineStr">
        <is>
          <t>Sales - Card Payments</t>
        </is>
      </c>
      <c r="E3" s="24" t="n">
        <v>870.01</v>
      </c>
      <c r="H3" s="23" t="inlineStr">
        <is>
          <t>Sales - Card Payments</t>
        </is>
      </c>
      <c r="I3" s="25">
        <f>SUMIF($D$3:$D$53,H3,$E$3:$E$53)</f>
        <v/>
      </c>
    </row>
    <row r="4" ht="15" customHeight="1">
      <c r="A4" s="26" t="inlineStr">
        <is>
          <t>04/01/2026</t>
        </is>
      </c>
      <c r="B4" s="26" t="inlineStr">
        <is>
          <t>Zelle - Sandra Castillo</t>
        </is>
      </c>
      <c r="C4" s="26" t="inlineStr">
        <is>
          <t>Zelle Received</t>
        </is>
      </c>
      <c r="D4" s="26" t="inlineStr">
        <is>
          <t>Sales - Zelle Payments</t>
        </is>
      </c>
      <c r="E4" s="27" t="n">
        <v>840</v>
      </c>
      <c r="H4" s="26" t="inlineStr">
        <is>
          <t>Sales - Zelle Payments</t>
        </is>
      </c>
      <c r="I4" s="28">
        <f>SUMIF($D$3:$D$53,H4,$E$3:$E$53)</f>
        <v/>
      </c>
    </row>
    <row r="5" ht="15" customHeight="1">
      <c r="A5" s="23" t="inlineStr">
        <is>
          <t>04/02/2026</t>
        </is>
      </c>
      <c r="B5" s="23" t="inlineStr">
        <is>
          <t>EPX Merchant Settlement</t>
        </is>
      </c>
      <c r="C5" s="23" t="inlineStr">
        <is>
          <t>EPX Settlement</t>
        </is>
      </c>
      <c r="D5" s="23" t="inlineStr">
        <is>
          <t>Sales - Card Payments</t>
        </is>
      </c>
      <c r="E5" s="24" t="n">
        <v>730.01</v>
      </c>
      <c r="H5" s="23" t="inlineStr">
        <is>
          <t>Sales - Check Payments</t>
        </is>
      </c>
      <c r="I5" s="25">
        <f>SUMIF($D$3:$D$53,H5,$E$3:$E$53)</f>
        <v/>
      </c>
    </row>
    <row r="6" ht="15" customHeight="1">
      <c r="A6" s="26" t="inlineStr">
        <is>
          <t>04/02/2026</t>
        </is>
      </c>
      <c r="B6" s="26" t="inlineStr">
        <is>
          <t>Zelle - Julien Kenderson</t>
        </is>
      </c>
      <c r="C6" s="26" t="inlineStr">
        <is>
          <t>Zelle Received</t>
        </is>
      </c>
      <c r="D6" s="26" t="inlineStr">
        <is>
          <t>Sales - Zelle Payments</t>
        </is>
      </c>
      <c r="E6" s="27" t="n">
        <v>300</v>
      </c>
      <c r="H6" s="26" t="inlineStr">
        <is>
          <t>Non-Operating - Bank Return</t>
        </is>
      </c>
      <c r="I6" s="28">
        <f>SUMIF($D$3:$D$53,H6,$E$3:$E$53)</f>
        <v/>
      </c>
    </row>
    <row r="7" ht="15" customHeight="1">
      <c r="A7" s="23" t="inlineStr">
        <is>
          <t>04/02/2026</t>
        </is>
      </c>
      <c r="B7" s="23" t="inlineStr">
        <is>
          <t>Zelle - Cam DX Corp</t>
        </is>
      </c>
      <c r="C7" s="23" t="inlineStr">
        <is>
          <t>Zelle Received</t>
        </is>
      </c>
      <c r="D7" s="23" t="inlineStr">
        <is>
          <t>Sales - Zelle Payments</t>
        </is>
      </c>
      <c r="E7" s="24" t="n">
        <v>150</v>
      </c>
      <c r="H7" s="23" t="inlineStr">
        <is>
          <t>Non-Operating - Transfer</t>
        </is>
      </c>
      <c r="I7" s="25">
        <f>SUMIF($D$3:$D$53,H7,$E$3:$E$53)</f>
        <v/>
      </c>
    </row>
    <row r="8" ht="15" customHeight="1">
      <c r="A8" s="26" t="inlineStr">
        <is>
          <t>04/03/2026</t>
        </is>
      </c>
      <c r="B8" s="26" t="inlineStr">
        <is>
          <t>EPX Merchant Settlement</t>
        </is>
      </c>
      <c r="C8" s="26" t="inlineStr">
        <is>
          <t>EPX Settlement</t>
        </is>
      </c>
      <c r="D8" s="26" t="inlineStr">
        <is>
          <t>Sales - Card Payments</t>
        </is>
      </c>
      <c r="E8" s="27" t="n">
        <v>715.02</v>
      </c>
      <c r="H8" s="26" t="inlineStr">
        <is>
          <t>Other - Refund</t>
        </is>
      </c>
      <c r="I8" s="28">
        <f>SUMIF($D$3:$D$53,H8,$E$3:$E$53)</f>
        <v/>
      </c>
    </row>
    <row r="9" ht="15" customHeight="1">
      <c r="A9" s="23" t="inlineStr">
        <is>
          <t>04/03/2026</t>
        </is>
      </c>
      <c r="B9" s="23" t="inlineStr">
        <is>
          <t>Zelle - Zamora Valenzuela</t>
        </is>
      </c>
      <c r="C9" s="23" t="inlineStr">
        <is>
          <t>Zelle Received</t>
        </is>
      </c>
      <c r="D9" s="23" t="inlineStr">
        <is>
          <t>Sales - Zelle Payments</t>
        </is>
      </c>
      <c r="E9" s="24" t="n">
        <v>240</v>
      </c>
      <c r="H9" s="29" t="inlineStr">
        <is>
          <t>GRAND TOTAL</t>
        </is>
      </c>
      <c r="I9" s="30">
        <f>SUM(I3:I8)</f>
        <v/>
      </c>
    </row>
    <row r="10" ht="15" customHeight="1">
      <c r="A10" s="26" t="inlineStr">
        <is>
          <t>04/06/2026</t>
        </is>
      </c>
      <c r="B10" s="26" t="inlineStr">
        <is>
          <t>Mobile Check Deposit</t>
        </is>
      </c>
      <c r="C10" s="26" t="inlineStr">
        <is>
          <t>Check Deposit</t>
        </is>
      </c>
      <c r="D10" s="26" t="inlineStr">
        <is>
          <t>Sales - Check Payments</t>
        </is>
      </c>
      <c r="E10" s="27" t="n">
        <v>3160</v>
      </c>
    </row>
    <row r="11" ht="15" customHeight="1">
      <c r="A11" s="23" t="inlineStr">
        <is>
          <t>04/06/2026</t>
        </is>
      </c>
      <c r="B11" s="23" t="inlineStr">
        <is>
          <t>Zelle - Farhat Mojaddidi</t>
        </is>
      </c>
      <c r="C11" s="23" t="inlineStr">
        <is>
          <t>Zelle Received</t>
        </is>
      </c>
      <c r="D11" s="23" t="inlineStr">
        <is>
          <t>Sales - Zelle Payments</t>
        </is>
      </c>
      <c r="E11" s="24" t="n">
        <v>2050</v>
      </c>
    </row>
    <row r="12" ht="15" customHeight="1">
      <c r="A12" s="26" t="inlineStr">
        <is>
          <t>04/06/2026</t>
        </is>
      </c>
      <c r="B12" s="26" t="inlineStr">
        <is>
          <t>Zelle - Yusuf Anas</t>
        </is>
      </c>
      <c r="C12" s="26" t="inlineStr">
        <is>
          <t>Zelle Received</t>
        </is>
      </c>
      <c r="D12" s="26" t="inlineStr">
        <is>
          <t>Sales - Zelle Payments</t>
        </is>
      </c>
      <c r="E12" s="27" t="n">
        <v>870</v>
      </c>
    </row>
    <row r="13" ht="15" customHeight="1">
      <c r="A13" s="23" t="inlineStr">
        <is>
          <t>04/06/2026</t>
        </is>
      </c>
      <c r="B13" s="23" t="inlineStr">
        <is>
          <t>EPX Merchant Settlement</t>
        </is>
      </c>
      <c r="C13" s="23" t="inlineStr">
        <is>
          <t>EPX Settlement</t>
        </is>
      </c>
      <c r="D13" s="23" t="inlineStr">
        <is>
          <t>Sales - Card Payments</t>
        </is>
      </c>
      <c r="E13" s="24" t="n">
        <v>635.01</v>
      </c>
    </row>
    <row r="14" ht="15" customHeight="1">
      <c r="A14" s="26" t="inlineStr">
        <is>
          <t>04/06/2026</t>
        </is>
      </c>
      <c r="B14" s="26" t="inlineStr">
        <is>
          <t>Zelle - Direct Autohaus</t>
        </is>
      </c>
      <c r="C14" s="26" t="inlineStr">
        <is>
          <t>Zelle Received</t>
        </is>
      </c>
      <c r="D14" s="26" t="inlineStr">
        <is>
          <t>Sales - Zelle Payments</t>
        </is>
      </c>
      <c r="E14" s="27" t="n">
        <v>320</v>
      </c>
    </row>
    <row r="15" ht="15" customHeight="1">
      <c r="A15" s="23" t="inlineStr">
        <is>
          <t>04/06/2026</t>
        </is>
      </c>
      <c r="B15" s="23" t="inlineStr">
        <is>
          <t>EPX Merchant Settlement</t>
        </is>
      </c>
      <c r="C15" s="23" t="inlineStr">
        <is>
          <t>EPX Settlement</t>
        </is>
      </c>
      <c r="D15" s="23" t="inlineStr">
        <is>
          <t>Sales - Card Payments</t>
        </is>
      </c>
      <c r="E15" s="24" t="n">
        <v>180</v>
      </c>
    </row>
    <row r="16" ht="15" customHeight="1">
      <c r="A16" s="26" t="inlineStr">
        <is>
          <t>04/07/2026</t>
        </is>
      </c>
      <c r="B16" s="26" t="inlineStr">
        <is>
          <t>EPX Merchant Settlement</t>
        </is>
      </c>
      <c r="C16" s="26" t="inlineStr">
        <is>
          <t>EPX Settlement</t>
        </is>
      </c>
      <c r="D16" s="26" t="inlineStr">
        <is>
          <t>Sales - Card Payments</t>
        </is>
      </c>
      <c r="E16" s="27" t="n">
        <v>545.02</v>
      </c>
    </row>
    <row r="17" ht="15" customHeight="1">
      <c r="A17" s="23" t="inlineStr">
        <is>
          <t>04/07/2026</t>
        </is>
      </c>
      <c r="B17" s="23" t="inlineStr">
        <is>
          <t>Zelle - Carlos Escobar Padron</t>
        </is>
      </c>
      <c r="C17" s="23" t="inlineStr">
        <is>
          <t>Zelle Received</t>
        </is>
      </c>
      <c r="D17" s="23" t="inlineStr">
        <is>
          <t>Sales - Zelle Payments</t>
        </is>
      </c>
      <c r="E17" s="24" t="n">
        <v>240</v>
      </c>
    </row>
    <row r="18" ht="15" customHeight="1">
      <c r="A18" s="26" t="inlineStr">
        <is>
          <t>04/08/2026</t>
        </is>
      </c>
      <c r="B18" s="26" t="inlineStr">
        <is>
          <t>EPX Merchant Settlement</t>
        </is>
      </c>
      <c r="C18" s="26" t="inlineStr">
        <is>
          <t>EPX Settlement</t>
        </is>
      </c>
      <c r="D18" s="26" t="inlineStr">
        <is>
          <t>Sales - Card Payments</t>
        </is>
      </c>
      <c r="E18" s="27" t="n">
        <v>75</v>
      </c>
    </row>
    <row r="19" ht="15" customHeight="1">
      <c r="A19" s="23" t="inlineStr">
        <is>
          <t>04/09/2026</t>
        </is>
      </c>
      <c r="B19" s="23" t="inlineStr">
        <is>
          <t>EPX Merchant Settlement</t>
        </is>
      </c>
      <c r="C19" s="23" t="inlineStr">
        <is>
          <t>EPX Settlement</t>
        </is>
      </c>
      <c r="D19" s="23" t="inlineStr">
        <is>
          <t>Sales - Card Payments</t>
        </is>
      </c>
      <c r="E19" s="24" t="n">
        <v>75</v>
      </c>
    </row>
    <row r="20" ht="15" customHeight="1">
      <c r="A20" s="26" t="inlineStr">
        <is>
          <t>04/10/2026</t>
        </is>
      </c>
      <c r="B20" s="26" t="inlineStr">
        <is>
          <t>Amazon Refund</t>
        </is>
      </c>
      <c r="C20" s="26" t="inlineStr">
        <is>
          <t>Refund</t>
        </is>
      </c>
      <c r="D20" s="26" t="inlineStr">
        <is>
          <t>Other - Refund</t>
        </is>
      </c>
      <c r="E20" s="27" t="n">
        <v>387.37</v>
      </c>
    </row>
    <row r="21" ht="15" customHeight="1">
      <c r="A21" s="23" t="inlineStr">
        <is>
          <t>04/13/2026</t>
        </is>
      </c>
      <c r="B21" s="23" t="inlineStr">
        <is>
          <t>Mobile Check Deposit</t>
        </is>
      </c>
      <c r="C21" s="23" t="inlineStr">
        <is>
          <t>Check Deposit</t>
        </is>
      </c>
      <c r="D21" s="23" t="inlineStr">
        <is>
          <t>Sales - Check Payments</t>
        </is>
      </c>
      <c r="E21" s="24" t="n">
        <v>1320</v>
      </c>
    </row>
    <row r="22" ht="15" customHeight="1">
      <c r="A22" s="26" t="inlineStr">
        <is>
          <t>04/13/2026</t>
        </is>
      </c>
      <c r="B22" s="26" t="inlineStr">
        <is>
          <t>EPX Merchant Settlement</t>
        </is>
      </c>
      <c r="C22" s="26" t="inlineStr">
        <is>
          <t>EPX Settlement</t>
        </is>
      </c>
      <c r="D22" s="26" t="inlineStr">
        <is>
          <t>Sales - Card Payments</t>
        </is>
      </c>
      <c r="E22" s="27" t="n">
        <v>435.01</v>
      </c>
    </row>
    <row r="23" ht="15" customHeight="1">
      <c r="A23" s="23" t="inlineStr">
        <is>
          <t>04/14/2026</t>
        </is>
      </c>
      <c r="B23" s="23" t="inlineStr">
        <is>
          <t>Return of Posted Check</t>
        </is>
      </c>
      <c r="C23" s="23" t="inlineStr">
        <is>
          <t>Bank Return</t>
        </is>
      </c>
      <c r="D23" s="23" t="inlineStr">
        <is>
          <t>Non-Operating - Bank Return</t>
        </is>
      </c>
      <c r="E23" s="24" t="n">
        <v>1976.32</v>
      </c>
    </row>
    <row r="24" ht="15" customHeight="1">
      <c r="A24" s="26" t="inlineStr">
        <is>
          <t>04/14/2026</t>
        </is>
      </c>
      <c r="B24" s="26" t="inlineStr">
        <is>
          <t>Overdraft Protection Transfer</t>
        </is>
      </c>
      <c r="C24" s="26" t="inlineStr">
        <is>
          <t>Bank Transfer</t>
        </is>
      </c>
      <c r="D24" s="26" t="inlineStr">
        <is>
          <t>Non-Operating - Transfer</t>
        </is>
      </c>
      <c r="E24" s="27" t="n">
        <v>557.3099999999999</v>
      </c>
    </row>
    <row r="25" ht="15" customHeight="1">
      <c r="A25" s="23" t="inlineStr">
        <is>
          <t>04/14/2026</t>
        </is>
      </c>
      <c r="B25" s="23" t="inlineStr">
        <is>
          <t>EPX Merchant Settlement</t>
        </is>
      </c>
      <c r="C25" s="23" t="inlineStr">
        <is>
          <t>EPX Settlement</t>
        </is>
      </c>
      <c r="D25" s="23" t="inlineStr">
        <is>
          <t>Sales - Card Payments</t>
        </is>
      </c>
      <c r="E25" s="24" t="n">
        <v>4310.13</v>
      </c>
    </row>
    <row r="26" ht="15" customHeight="1">
      <c r="A26" s="26" t="inlineStr">
        <is>
          <t>04/15/2026</t>
        </is>
      </c>
      <c r="B26" s="26" t="inlineStr">
        <is>
          <t>EPX Merchant Settlement</t>
        </is>
      </c>
      <c r="C26" s="26" t="inlineStr">
        <is>
          <t>EPX Settlement</t>
        </is>
      </c>
      <c r="D26" s="26" t="inlineStr">
        <is>
          <t>Sales - Card Payments</t>
        </is>
      </c>
      <c r="E26" s="27" t="n">
        <v>815.02</v>
      </c>
    </row>
    <row r="27" ht="15" customHeight="1">
      <c r="A27" s="23" t="inlineStr">
        <is>
          <t>04/15/2026</t>
        </is>
      </c>
      <c r="B27" s="23" t="inlineStr">
        <is>
          <t>Zelle - Cam DX Corp</t>
        </is>
      </c>
      <c r="C27" s="23" t="inlineStr">
        <is>
          <t>Zelle Received</t>
        </is>
      </c>
      <c r="D27" s="23" t="inlineStr">
        <is>
          <t>Sales - Zelle Payments</t>
        </is>
      </c>
      <c r="E27" s="24" t="n">
        <v>200</v>
      </c>
    </row>
    <row r="28" ht="15" customHeight="1">
      <c r="A28" s="26" t="inlineStr">
        <is>
          <t>04/16/2026</t>
        </is>
      </c>
      <c r="B28" s="26" t="inlineStr">
        <is>
          <t>EPX Merchant Settlement</t>
        </is>
      </c>
      <c r="C28" s="26" t="inlineStr">
        <is>
          <t>EPX Settlement</t>
        </is>
      </c>
      <c r="D28" s="26" t="inlineStr">
        <is>
          <t>Sales - Card Payments</t>
        </is>
      </c>
      <c r="E28" s="27" t="n">
        <v>420.01</v>
      </c>
    </row>
    <row r="29" ht="15" customHeight="1">
      <c r="A29" s="23" t="inlineStr">
        <is>
          <t>04/17/2026</t>
        </is>
      </c>
      <c r="B29" s="23" t="inlineStr">
        <is>
          <t>Zelle - Marco Castrosanchez (VW Atlas oil change)</t>
        </is>
      </c>
      <c r="C29" s="23" t="inlineStr">
        <is>
          <t>Zelle Received</t>
        </is>
      </c>
      <c r="D29" s="23" t="inlineStr">
        <is>
          <t>Sales - Zelle Payments</t>
        </is>
      </c>
      <c r="E29" s="24" t="n">
        <v>290</v>
      </c>
    </row>
    <row r="30" ht="15" customHeight="1">
      <c r="A30" s="26" t="inlineStr">
        <is>
          <t>04/17/2026</t>
        </is>
      </c>
      <c r="B30" s="26" t="inlineStr">
        <is>
          <t>EPX Merchant Settlement</t>
        </is>
      </c>
      <c r="C30" s="26" t="inlineStr">
        <is>
          <t>EPX Settlement</t>
        </is>
      </c>
      <c r="D30" s="26" t="inlineStr">
        <is>
          <t>Sales - Card Payments</t>
        </is>
      </c>
      <c r="E30" s="27" t="n">
        <v>280</v>
      </c>
    </row>
    <row r="31" ht="15" customHeight="1">
      <c r="A31" s="23" t="inlineStr">
        <is>
          <t>04/20/2026</t>
        </is>
      </c>
      <c r="B31" s="23" t="inlineStr">
        <is>
          <t>EPX Merchant Settlement</t>
        </is>
      </c>
      <c r="C31" s="23" t="inlineStr">
        <is>
          <t>EPX Settlement</t>
        </is>
      </c>
      <c r="D31" s="23" t="inlineStr">
        <is>
          <t>Sales - Card Payments</t>
        </is>
      </c>
      <c r="E31" s="24" t="n">
        <v>1570.04</v>
      </c>
    </row>
    <row r="32" ht="15" customHeight="1">
      <c r="A32" s="26" t="inlineStr">
        <is>
          <t>04/20/2026</t>
        </is>
      </c>
      <c r="B32" s="26" t="inlineStr">
        <is>
          <t>EPX Merchant Settlement</t>
        </is>
      </c>
      <c r="C32" s="26" t="inlineStr">
        <is>
          <t>EPX Settlement</t>
        </is>
      </c>
      <c r="D32" s="26" t="inlineStr">
        <is>
          <t>Sales - Card Payments</t>
        </is>
      </c>
      <c r="E32" s="27" t="n">
        <v>760.02</v>
      </c>
    </row>
    <row r="33" ht="15" customHeight="1">
      <c r="A33" s="23" t="inlineStr">
        <is>
          <t>04/20/2026</t>
        </is>
      </c>
      <c r="B33" s="23" t="inlineStr">
        <is>
          <t>Zelle - Jorge Romero Pino</t>
        </is>
      </c>
      <c r="C33" s="23" t="inlineStr">
        <is>
          <t>Zelle Received</t>
        </is>
      </c>
      <c r="D33" s="23" t="inlineStr">
        <is>
          <t>Sales - Zelle Payments</t>
        </is>
      </c>
      <c r="E33" s="24" t="n">
        <v>280</v>
      </c>
    </row>
    <row r="34" ht="15" customHeight="1">
      <c r="A34" s="26" t="inlineStr">
        <is>
          <t>04/20/2026</t>
        </is>
      </c>
      <c r="B34" s="26" t="inlineStr">
        <is>
          <t>Zelle - Faisal Anas</t>
        </is>
      </c>
      <c r="C34" s="26" t="inlineStr">
        <is>
          <t>Zelle Received</t>
        </is>
      </c>
      <c r="D34" s="26" t="inlineStr">
        <is>
          <t>Sales - Zelle Payments</t>
        </is>
      </c>
      <c r="E34" s="27" t="n">
        <v>70</v>
      </c>
    </row>
    <row r="35" ht="15" customHeight="1">
      <c r="A35" s="23" t="inlineStr">
        <is>
          <t>04/20/2026</t>
        </is>
      </c>
      <c r="B35" s="23" t="inlineStr">
        <is>
          <t>Zelle - Carlos Calderon</t>
        </is>
      </c>
      <c r="C35" s="23" t="inlineStr">
        <is>
          <t>Zelle Received</t>
        </is>
      </c>
      <c r="D35" s="23" t="inlineStr">
        <is>
          <t>Sales - Zelle Payments</t>
        </is>
      </c>
      <c r="E35" s="24" t="n">
        <v>60</v>
      </c>
    </row>
    <row r="36" ht="15" customHeight="1">
      <c r="A36" s="26" t="inlineStr">
        <is>
          <t>04/21/2026</t>
        </is>
      </c>
      <c r="B36" s="26" t="inlineStr">
        <is>
          <t>Zelle - Direct Autohaus (BMW/Audi sensors)</t>
        </is>
      </c>
      <c r="C36" s="26" t="inlineStr">
        <is>
          <t>Zelle Received</t>
        </is>
      </c>
      <c r="D36" s="26" t="inlineStr">
        <is>
          <t>Sales - Zelle Payments</t>
        </is>
      </c>
      <c r="E36" s="27" t="n">
        <v>350</v>
      </c>
    </row>
    <row r="37" ht="15" customHeight="1">
      <c r="A37" s="23" t="inlineStr">
        <is>
          <t>04/21/2026</t>
        </is>
      </c>
      <c r="B37" s="23" t="inlineStr">
        <is>
          <t>EPX Merchant Settlement</t>
        </is>
      </c>
      <c r="C37" s="23" t="inlineStr">
        <is>
          <t>EPX Settlement</t>
        </is>
      </c>
      <c r="D37" s="23" t="inlineStr">
        <is>
          <t>Sales - Card Payments</t>
        </is>
      </c>
      <c r="E37" s="24" t="n">
        <v>60</v>
      </c>
    </row>
    <row r="38" ht="15" customHeight="1">
      <c r="A38" s="26" t="inlineStr">
        <is>
          <t>04/21/2026</t>
        </is>
      </c>
      <c r="B38" s="26" t="inlineStr">
        <is>
          <t>Zelle - Xdrive LLC</t>
        </is>
      </c>
      <c r="C38" s="26" t="inlineStr">
        <is>
          <t>Zelle Received</t>
        </is>
      </c>
      <c r="D38" s="26" t="inlineStr">
        <is>
          <t>Sales - Zelle Payments</t>
        </is>
      </c>
      <c r="E38" s="27" t="n">
        <v>50</v>
      </c>
    </row>
    <row r="39" ht="15" customHeight="1">
      <c r="A39" s="23" t="inlineStr">
        <is>
          <t>04/22/2026</t>
        </is>
      </c>
      <c r="B39" s="23" t="inlineStr">
        <is>
          <t>EPX Merchant Settlement</t>
        </is>
      </c>
      <c r="C39" s="23" t="inlineStr">
        <is>
          <t>EPX Settlement</t>
        </is>
      </c>
      <c r="D39" s="23" t="inlineStr">
        <is>
          <t>Sales - Card Payments</t>
        </is>
      </c>
      <c r="E39" s="24" t="n">
        <v>775.01</v>
      </c>
    </row>
    <row r="40" ht="15" customHeight="1">
      <c r="A40" s="26" t="inlineStr">
        <is>
          <t>04/23/2026</t>
        </is>
      </c>
      <c r="B40" s="26" t="inlineStr">
        <is>
          <t>EPX Merchant Settlement</t>
        </is>
      </c>
      <c r="C40" s="26" t="inlineStr">
        <is>
          <t>EPX Settlement</t>
        </is>
      </c>
      <c r="D40" s="26" t="inlineStr">
        <is>
          <t>Sales - Card Payments</t>
        </is>
      </c>
      <c r="E40" s="27" t="n">
        <v>795.02</v>
      </c>
    </row>
    <row r="41" ht="15" customHeight="1">
      <c r="A41" s="23" t="inlineStr">
        <is>
          <t>04/24/2026</t>
        </is>
      </c>
      <c r="B41" s="23" t="inlineStr">
        <is>
          <t>EPX Merchant Settlement</t>
        </is>
      </c>
      <c r="C41" s="23" t="inlineStr">
        <is>
          <t>EPX Settlement</t>
        </is>
      </c>
      <c r="D41" s="23" t="inlineStr">
        <is>
          <t>Sales - Card Payments</t>
        </is>
      </c>
      <c r="E41" s="24" t="n">
        <v>1000.01</v>
      </c>
    </row>
    <row r="42" ht="15" customHeight="1">
      <c r="A42" s="26" t="inlineStr">
        <is>
          <t>04/24/2026</t>
        </is>
      </c>
      <c r="B42" s="26" t="inlineStr">
        <is>
          <t>Zelle - Cam DX Corp</t>
        </is>
      </c>
      <c r="C42" s="26" t="inlineStr">
        <is>
          <t>Zelle Received</t>
        </is>
      </c>
      <c r="D42" s="26" t="inlineStr">
        <is>
          <t>Sales - Zelle Payments</t>
        </is>
      </c>
      <c r="E42" s="27" t="n">
        <v>100</v>
      </c>
    </row>
    <row r="43" ht="15" customHeight="1">
      <c r="A43" s="23" t="inlineStr">
        <is>
          <t>04/24/2026</t>
        </is>
      </c>
      <c r="B43" s="23" t="inlineStr">
        <is>
          <t>Zelle - Omar Zurita</t>
        </is>
      </c>
      <c r="C43" s="23" t="inlineStr">
        <is>
          <t>Zelle Received</t>
        </is>
      </c>
      <c r="D43" s="23" t="inlineStr">
        <is>
          <t>Sales - Zelle Payments</t>
        </is>
      </c>
      <c r="E43" s="24" t="n">
        <v>50</v>
      </c>
    </row>
    <row r="44" ht="15" customHeight="1">
      <c r="A44" s="26" t="inlineStr">
        <is>
          <t>04/27/2026</t>
        </is>
      </c>
      <c r="B44" s="26" t="inlineStr">
        <is>
          <t>EPX Merchant Settlement</t>
        </is>
      </c>
      <c r="C44" s="26" t="inlineStr">
        <is>
          <t>EPX Settlement</t>
        </is>
      </c>
      <c r="D44" s="26" t="inlineStr">
        <is>
          <t>Sales - Card Payments</t>
        </is>
      </c>
      <c r="E44" s="27" t="n">
        <v>1950.06</v>
      </c>
    </row>
    <row r="45" ht="15" customHeight="1">
      <c r="A45" s="23" t="inlineStr">
        <is>
          <t>04/27/2026</t>
        </is>
      </c>
      <c r="B45" s="23" t="inlineStr">
        <is>
          <t>EPX Merchant Settlement</t>
        </is>
      </c>
      <c r="C45" s="23" t="inlineStr">
        <is>
          <t>EPX Settlement</t>
        </is>
      </c>
      <c r="D45" s="23" t="inlineStr">
        <is>
          <t>Sales - Card Payments</t>
        </is>
      </c>
      <c r="E45" s="24" t="n">
        <v>1433.03</v>
      </c>
    </row>
    <row r="46" ht="15" customHeight="1">
      <c r="A46" s="26" t="inlineStr">
        <is>
          <t>04/27/2026</t>
        </is>
      </c>
      <c r="B46" s="26" t="inlineStr">
        <is>
          <t>Zelle - Victor Villegas</t>
        </is>
      </c>
      <c r="C46" s="26" t="inlineStr">
        <is>
          <t>Zelle Received</t>
        </is>
      </c>
      <c r="D46" s="26" t="inlineStr">
        <is>
          <t>Sales - Zelle Payments</t>
        </is>
      </c>
      <c r="E46" s="27" t="n">
        <v>100</v>
      </c>
    </row>
    <row r="47" ht="15" customHeight="1">
      <c r="A47" s="23" t="inlineStr">
        <is>
          <t>04/28/2026</t>
        </is>
      </c>
      <c r="B47" s="23" t="inlineStr">
        <is>
          <t>EPX Merchant Settlement</t>
        </is>
      </c>
      <c r="C47" s="23" t="inlineStr">
        <is>
          <t>EPX Settlement</t>
        </is>
      </c>
      <c r="D47" s="23" t="inlineStr">
        <is>
          <t>Sales - Card Payments</t>
        </is>
      </c>
      <c r="E47" s="24" t="n">
        <v>1230.03</v>
      </c>
    </row>
    <row r="48" ht="15" customHeight="1">
      <c r="A48" s="26" t="inlineStr">
        <is>
          <t>04/29/2026</t>
        </is>
      </c>
      <c r="B48" s="26" t="inlineStr">
        <is>
          <t>EPX Merchant Settlement</t>
        </is>
      </c>
      <c r="C48" s="26" t="inlineStr">
        <is>
          <t>EPX Settlement</t>
        </is>
      </c>
      <c r="D48" s="26" t="inlineStr">
        <is>
          <t>Sales - Card Payments</t>
        </is>
      </c>
      <c r="E48" s="27" t="n">
        <v>1215.04</v>
      </c>
    </row>
    <row r="49" ht="15" customHeight="1">
      <c r="A49" s="23" t="inlineStr">
        <is>
          <t>04/29/2026</t>
        </is>
      </c>
      <c r="B49" s="23" t="inlineStr">
        <is>
          <t>Zelle - Jorge Ruiz (Lincoln)</t>
        </is>
      </c>
      <c r="C49" s="23" t="inlineStr">
        <is>
          <t>Zelle Received</t>
        </is>
      </c>
      <c r="D49" s="23" t="inlineStr">
        <is>
          <t>Sales - Zelle Payments</t>
        </is>
      </c>
      <c r="E49" s="24" t="n">
        <v>200</v>
      </c>
    </row>
    <row r="50" ht="15" customHeight="1">
      <c r="A50" s="26" t="inlineStr">
        <is>
          <t>04/29/2026</t>
        </is>
      </c>
      <c r="B50" s="26" t="inlineStr">
        <is>
          <t>Zelle - Richard Prieto (tire patch)</t>
        </is>
      </c>
      <c r="C50" s="26" t="inlineStr">
        <is>
          <t>Zelle Received</t>
        </is>
      </c>
      <c r="D50" s="26" t="inlineStr">
        <is>
          <t>Sales - Zelle Payments</t>
        </is>
      </c>
      <c r="E50" s="27" t="n">
        <v>70</v>
      </c>
    </row>
    <row r="51" ht="15" customHeight="1">
      <c r="A51" s="23" t="inlineStr">
        <is>
          <t>04/29/2026</t>
        </is>
      </c>
      <c r="B51" s="23" t="inlineStr">
        <is>
          <t>Zelle - Julien Kenderson</t>
        </is>
      </c>
      <c r="C51" s="23" t="inlineStr">
        <is>
          <t>Zelle Received</t>
        </is>
      </c>
      <c r="D51" s="23" t="inlineStr">
        <is>
          <t>Sales - Zelle Payments</t>
        </is>
      </c>
      <c r="E51" s="24" t="n">
        <v>60</v>
      </c>
    </row>
    <row r="52" ht="15" customHeight="1">
      <c r="A52" s="26" t="inlineStr">
        <is>
          <t>04/30/2026</t>
        </is>
      </c>
      <c r="B52" s="26" t="inlineStr">
        <is>
          <t>EPX Merchant Settlement</t>
        </is>
      </c>
      <c r="C52" s="26" t="inlineStr">
        <is>
          <t>EPX Settlement</t>
        </is>
      </c>
      <c r="D52" s="26" t="inlineStr">
        <is>
          <t>Sales - Card Payments</t>
        </is>
      </c>
      <c r="E52" s="27" t="n">
        <v>1060.02</v>
      </c>
    </row>
    <row r="53" ht="15" customHeight="1">
      <c r="A53" s="23" t="inlineStr">
        <is>
          <t>04/30/2026</t>
        </is>
      </c>
      <c r="B53" s="23" t="inlineStr">
        <is>
          <t>Zelle - Motor Point LLC</t>
        </is>
      </c>
      <c r="C53" s="23" t="inlineStr">
        <is>
          <t>Zelle Received</t>
        </is>
      </c>
      <c r="D53" s="23" t="inlineStr">
        <is>
          <t>Sales - Zelle Payments</t>
        </is>
      </c>
      <c r="E53" s="24" t="n">
        <v>200</v>
      </c>
    </row>
    <row r="54" ht="16" customHeight="1">
      <c r="A54" s="11" t="inlineStr">
        <is>
          <t>TOTAL</t>
        </is>
      </c>
      <c r="B54" s="13" t="n"/>
      <c r="C54" s="13" t="n"/>
      <c r="D54" s="13" t="n"/>
      <c r="E54" s="30">
        <f>SUM(E3:E53)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6" customWidth="1" min="3" max="3"/>
    <col width="26" customWidth="1" min="4" max="4"/>
    <col width="16" customWidth="1" min="5" max="5"/>
    <col width="4" customWidth="1" min="6" max="6"/>
    <col width="4" customWidth="1" min="7" max="7"/>
    <col width="4" customWidth="1" min="8" max="8"/>
    <col width="30" customWidth="1" min="9" max="9"/>
    <col width="16" customWidth="1" min="10" max="10"/>
  </cols>
  <sheetData>
    <row r="1" ht="26" customHeight="1">
      <c r="A1" s="21" t="inlineStr">
        <is>
          <t>REYES TIRES, INC — CHECKING ACCOUNT EXPENSES — APRIL 2026</t>
        </is>
      </c>
    </row>
    <row r="2" ht="16" customHeight="1">
      <c r="A2" s="3" t="inlineStr">
        <is>
          <t>Date</t>
        </is>
      </c>
      <c r="B2" s="3" t="inlineStr">
        <is>
          <t>Check #</t>
        </is>
      </c>
      <c r="C2" s="3" t="inlineStr">
        <is>
          <t>Description</t>
        </is>
      </c>
      <c r="D2" s="3" t="inlineStr">
        <is>
          <t>Category</t>
        </is>
      </c>
      <c r="E2" s="3" t="inlineStr">
        <is>
          <t>Amount</t>
        </is>
      </c>
      <c r="I2" s="22" t="inlineStr">
        <is>
          <t>Category</t>
        </is>
      </c>
      <c r="J2" s="22" t="inlineStr">
        <is>
          <t>Total</t>
        </is>
      </c>
    </row>
    <row r="3" ht="15" customHeight="1">
      <c r="A3" s="23" t="inlineStr">
        <is>
          <t>04/01/2026</t>
        </is>
      </c>
      <c r="B3" s="31" t="inlineStr"/>
      <c r="C3" s="23" t="inlineStr">
        <is>
          <t>Bank Monthly Maintenance Fee</t>
        </is>
      </c>
      <c r="D3" s="23" t="inlineStr">
        <is>
          <t>Bank Fees</t>
        </is>
      </c>
      <c r="E3" s="24" t="n">
        <v>16</v>
      </c>
      <c r="I3" s="23" t="inlineStr">
        <is>
          <t>Inventory-Tires</t>
        </is>
      </c>
      <c r="J3" s="25">
        <f>SUMIF($D$3:$D$72,I3,$E$3:$E$72)</f>
        <v/>
      </c>
    </row>
    <row r="4" ht="15" customHeight="1">
      <c r="A4" s="26" t="inlineStr">
        <is>
          <t>04/01/2026</t>
        </is>
      </c>
      <c r="B4" s="32" t="inlineStr"/>
      <c r="C4" s="26" t="inlineStr">
        <is>
          <t>Excess Transaction Fee</t>
        </is>
      </c>
      <c r="D4" s="26" t="inlineStr">
        <is>
          <t>Bank Fees</t>
        </is>
      </c>
      <c r="E4" s="27" t="n">
        <v>2.7</v>
      </c>
      <c r="I4" s="26" t="inlineStr">
        <is>
          <t>Inventory-Parts &amp; Supplies</t>
        </is>
      </c>
      <c r="J4" s="28">
        <f>SUMIF($D$3:$D$72,I4,$E$3:$E$72)</f>
        <v/>
      </c>
    </row>
    <row r="5" ht="15" customHeight="1">
      <c r="A5" s="23" t="inlineStr">
        <is>
          <t>04/01/2026</t>
        </is>
      </c>
      <c r="B5" s="31" t="inlineStr"/>
      <c r="C5" s="23" t="inlineStr">
        <is>
          <t>EPX Merchant Processing Fee</t>
        </is>
      </c>
      <c r="D5" s="23" t="inlineStr">
        <is>
          <t>Merchant Processing</t>
        </is>
      </c>
      <c r="E5" s="24" t="n">
        <v>10</v>
      </c>
      <c r="I5" s="23" t="inlineStr">
        <is>
          <t>Payroll-Wages</t>
        </is>
      </c>
      <c r="J5" s="25">
        <f>SUMIF($D$3:$D$72,I5,$E$3:$E$72)</f>
        <v/>
      </c>
    </row>
    <row r="6" ht="15" customHeight="1">
      <c r="A6" s="26" t="inlineStr">
        <is>
          <t>04/01/2026</t>
        </is>
      </c>
      <c r="B6" s="32" t="inlineStr"/>
      <c r="C6" s="26" t="inlineStr">
        <is>
          <t>ADP 401k Contribution</t>
        </is>
      </c>
      <c r="D6" s="26" t="inlineStr">
        <is>
          <t>Payroll-401k</t>
        </is>
      </c>
      <c r="E6" s="27" t="n">
        <v>30</v>
      </c>
      <c r="I6" s="26" t="inlineStr">
        <is>
          <t>Payroll-Payroll Taxes</t>
        </is>
      </c>
      <c r="J6" s="28">
        <f>SUMIF($D$3:$D$72,I6,$E$3:$E$72)</f>
        <v/>
      </c>
    </row>
    <row r="7" ht="15" customHeight="1">
      <c r="A7" s="23" t="inlineStr">
        <is>
          <t>04/01/2026</t>
        </is>
      </c>
      <c r="B7" s="31" t="inlineStr"/>
      <c r="C7" s="23" t="inlineStr">
        <is>
          <t>ADP Pay-By-Pay (Workers Comp)</t>
        </is>
      </c>
      <c r="D7" s="23" t="inlineStr">
        <is>
          <t>Payroll-Workers Comp</t>
        </is>
      </c>
      <c r="E7" s="24" t="n">
        <v>86.75</v>
      </c>
      <c r="I7" s="23" t="inlineStr">
        <is>
          <t>Payroll-401k</t>
        </is>
      </c>
      <c r="J7" s="25">
        <f>SUMIF($D$3:$D$72,I7,$E$3:$E$72)</f>
        <v/>
      </c>
    </row>
    <row r="8" ht="15" customHeight="1">
      <c r="A8" s="26" t="inlineStr">
        <is>
          <t>04/01/2026</t>
        </is>
      </c>
      <c r="B8" s="32" t="inlineStr">
        <is>
          <t>4064</t>
        </is>
      </c>
      <c r="C8" s="26" t="inlineStr">
        <is>
          <t>Tire Network — Tire Purchase</t>
        </is>
      </c>
      <c r="D8" s="26" t="inlineStr">
        <is>
          <t>Inventory-Tires</t>
        </is>
      </c>
      <c r="E8" s="27" t="n">
        <v>600</v>
      </c>
      <c r="I8" s="26" t="inlineStr">
        <is>
          <t>Payroll-Workers Comp</t>
        </is>
      </c>
      <c r="J8" s="28">
        <f>SUMIF($D$3:$D$72,I8,$E$3:$E$72)</f>
        <v/>
      </c>
    </row>
    <row r="9" ht="15" customHeight="1">
      <c r="A9" s="23" t="inlineStr">
        <is>
          <t>04/01/2026</t>
        </is>
      </c>
      <c r="B9" s="31" t="inlineStr">
        <is>
          <t>4066</t>
        </is>
      </c>
      <c r="C9" s="23" t="inlineStr">
        <is>
          <t>U.S. Auto Force — Parts</t>
        </is>
      </c>
      <c r="D9" s="23" t="inlineStr">
        <is>
          <t>Inventory-Parts &amp; Supplies</t>
        </is>
      </c>
      <c r="E9" s="24" t="n">
        <v>574.38</v>
      </c>
      <c r="I9" s="23" t="inlineStr">
        <is>
          <t>Payroll-Processing Fees</t>
        </is>
      </c>
      <c r="J9" s="25">
        <f>SUMIF($D$3:$D$72,I9,$E$3:$E$72)</f>
        <v/>
      </c>
    </row>
    <row r="10" ht="15" customHeight="1">
      <c r="A10" s="26" t="inlineStr">
        <is>
          <t>04/01/2026</t>
        </is>
      </c>
      <c r="B10" s="32" t="inlineStr">
        <is>
          <t>4068</t>
        </is>
      </c>
      <c r="C10" s="26" t="inlineStr">
        <is>
          <t>Tire Co — Tire Purchase</t>
        </is>
      </c>
      <c r="D10" s="26" t="inlineStr">
        <is>
          <t>Inventory-Tires</t>
        </is>
      </c>
      <c r="E10" s="27" t="n">
        <v>200</v>
      </c>
      <c r="I10" s="26" t="inlineStr">
        <is>
          <t>Rent</t>
        </is>
      </c>
      <c r="J10" s="28">
        <f>SUMIF($D$3:$D$72,I10,$E$3:$E$72)</f>
        <v/>
      </c>
    </row>
    <row r="11" ht="15" customHeight="1">
      <c r="A11" s="23" t="inlineStr">
        <is>
          <t>04/03/2026</t>
        </is>
      </c>
      <c r="B11" s="31" t="inlineStr"/>
      <c r="C11" s="23" t="inlineStr">
        <is>
          <t>ADP Payroll Processing Fee</t>
        </is>
      </c>
      <c r="D11" s="23" t="inlineStr">
        <is>
          <t>Payroll-Processing Fees</t>
        </is>
      </c>
      <c r="E11" s="24" t="n">
        <v>118.5</v>
      </c>
      <c r="I11" s="23" t="inlineStr">
        <is>
          <t>Insurance-Business</t>
        </is>
      </c>
      <c r="J11" s="25">
        <f>SUMIF($D$3:$D$72,I11,$E$3:$E$72)</f>
        <v/>
      </c>
    </row>
    <row r="12" ht="15" customHeight="1">
      <c r="A12" s="26" t="inlineStr">
        <is>
          <t>04/03/2026</t>
        </is>
      </c>
      <c r="B12" s="32" t="inlineStr"/>
      <c r="C12" s="26" t="inlineStr">
        <is>
          <t>ADP Payroll Processing Fee</t>
        </is>
      </c>
      <c r="D12" s="26" t="inlineStr">
        <is>
          <t>Payroll-Processing Fees</t>
        </is>
      </c>
      <c r="E12" s="27" t="n">
        <v>40</v>
      </c>
      <c r="I12" s="26" t="inlineStr">
        <is>
          <t>Equipment Lease</t>
        </is>
      </c>
      <c r="J12" s="28">
        <f>SUMIF($D$3:$D$72,I12,$E$3:$E$72)</f>
        <v/>
      </c>
    </row>
    <row r="13" ht="15" customHeight="1">
      <c r="A13" s="23" t="inlineStr">
        <is>
          <t>04/03/2026</t>
        </is>
      </c>
      <c r="B13" s="31" t="inlineStr"/>
      <c r="C13" s="23" t="inlineStr">
        <is>
          <t>Toyota Financial — Vehicle Loan</t>
        </is>
      </c>
      <c r="D13" s="23" t="inlineStr">
        <is>
          <t>Vehicle-Loan</t>
        </is>
      </c>
      <c r="E13" s="24" t="n">
        <v>326.39</v>
      </c>
      <c r="I13" s="23" t="inlineStr">
        <is>
          <t>Vehicle-Loan</t>
        </is>
      </c>
      <c r="J13" s="25">
        <f>SUMIF($D$3:$D$72,I13,$E$3:$E$72)</f>
        <v/>
      </c>
    </row>
    <row r="14" ht="15" customHeight="1">
      <c r="A14" s="26" t="inlineStr">
        <is>
          <t>04/03/2026</t>
        </is>
      </c>
      <c r="B14" s="32" t="inlineStr">
        <is>
          <t>4069</t>
        </is>
      </c>
      <c r="C14" s="26" t="inlineStr">
        <is>
          <t>Tire Outlet — Tire Purchase</t>
        </is>
      </c>
      <c r="D14" s="26" t="inlineStr">
        <is>
          <t>Inventory-Tires</t>
        </is>
      </c>
      <c r="E14" s="27" t="n">
        <v>630</v>
      </c>
      <c r="I14" s="26" t="inlineStr">
        <is>
          <t>Vehicle-Repairs</t>
        </is>
      </c>
      <c r="J14" s="28">
        <f>SUMIF($D$3:$D$72,I14,$E$3:$E$72)</f>
        <v/>
      </c>
    </row>
    <row r="15" ht="15" customHeight="1">
      <c r="A15" s="23" t="inlineStr">
        <is>
          <t>04/06/2026</t>
        </is>
      </c>
      <c r="B15" s="31" t="inlineStr"/>
      <c r="C15" s="23" t="inlineStr">
        <is>
          <t>ADP Wage Pay — Payroll</t>
        </is>
      </c>
      <c r="D15" s="23" t="inlineStr">
        <is>
          <t>Payroll-Wages</t>
        </is>
      </c>
      <c r="E15" s="24" t="n">
        <v>1976.32</v>
      </c>
      <c r="I15" s="23" t="inlineStr">
        <is>
          <t>Utilities-Phone</t>
        </is>
      </c>
      <c r="J15" s="25">
        <f>SUMIF($D$3:$D$72,I15,$E$3:$E$72)</f>
        <v/>
      </c>
    </row>
    <row r="16" ht="15" customHeight="1">
      <c r="A16" s="26" t="inlineStr">
        <is>
          <t>04/06/2026</t>
        </is>
      </c>
      <c r="B16" s="32" t="inlineStr"/>
      <c r="C16" s="26" t="inlineStr">
        <is>
          <t>ADP Tax Deposit</t>
        </is>
      </c>
      <c r="D16" s="26" t="inlineStr">
        <is>
          <t>Payroll-Payroll Taxes</t>
        </is>
      </c>
      <c r="E16" s="27" t="n">
        <v>607.6799999999999</v>
      </c>
      <c r="I16" s="26" t="inlineStr">
        <is>
          <t>Merchant Processing</t>
        </is>
      </c>
      <c r="J16" s="28">
        <f>SUMIF($D$3:$D$72,I16,$E$3:$E$72)</f>
        <v/>
      </c>
    </row>
    <row r="17" ht="15" customHeight="1">
      <c r="A17" s="23" t="inlineStr">
        <is>
          <t>04/06/2026</t>
        </is>
      </c>
      <c r="B17" s="31" t="inlineStr"/>
      <c r="C17" s="23" t="inlineStr">
        <is>
          <t>Zelle to Teo — Labor/Supply</t>
        </is>
      </c>
      <c r="D17" s="23" t="inlineStr">
        <is>
          <t>Labor/Subcontractors</t>
        </is>
      </c>
      <c r="E17" s="24" t="n">
        <v>200</v>
      </c>
      <c r="I17" s="23" t="inlineStr">
        <is>
          <t>Bank Fees</t>
        </is>
      </c>
      <c r="J17" s="25">
        <f>SUMIF($D$3:$D$72,I17,$E$3:$E$72)</f>
        <v/>
      </c>
    </row>
    <row r="18" ht="15" customHeight="1">
      <c r="A18" s="26" t="inlineStr">
        <is>
          <t>04/06/2026</t>
        </is>
      </c>
      <c r="B18" s="32" t="inlineStr"/>
      <c r="C18" s="26" t="inlineStr">
        <is>
          <t>Zelle to Juan Used Tires</t>
        </is>
      </c>
      <c r="D18" s="26" t="inlineStr">
        <is>
          <t>Inventory-Tires</t>
        </is>
      </c>
      <c r="E18" s="27" t="n">
        <v>700</v>
      </c>
      <c r="I18" s="26" t="inlineStr">
        <is>
          <t>Labor/Subcontractors</t>
        </is>
      </c>
      <c r="J18" s="28">
        <f>SUMIF($D$3:$D$72,I18,$E$3:$E$72)</f>
        <v/>
      </c>
    </row>
    <row r="19" ht="15" customHeight="1">
      <c r="A19" s="23" t="inlineStr">
        <is>
          <t>04/06/2026</t>
        </is>
      </c>
      <c r="B19" s="31" t="inlineStr"/>
      <c r="C19" s="23" t="inlineStr">
        <is>
          <t>Gladly Coffee</t>
        </is>
      </c>
      <c r="D19" s="23" t="inlineStr">
        <is>
          <t>Meals/Entertainment</t>
        </is>
      </c>
      <c r="E19" s="24" t="n">
        <v>27.1</v>
      </c>
      <c r="I19" s="23" t="inlineStr">
        <is>
          <t>Licenses/Permits</t>
        </is>
      </c>
      <c r="J19" s="25">
        <f>SUMIF($D$3:$D$72,I19,$E$3:$E$72)</f>
        <v/>
      </c>
    </row>
    <row r="20" ht="15" customHeight="1">
      <c r="A20" s="26" t="inlineStr">
        <is>
          <t>04/06/2026</t>
        </is>
      </c>
      <c r="B20" s="32" t="inlineStr">
        <is>
          <t>4070</t>
        </is>
      </c>
      <c r="C20" s="26" t="inlineStr">
        <is>
          <t>Freedom — Parts Purchase</t>
        </is>
      </c>
      <c r="D20" s="26" t="inlineStr">
        <is>
          <t>Inventory-Parts &amp; Supplies</t>
        </is>
      </c>
      <c r="E20" s="27" t="n">
        <v>479.4</v>
      </c>
      <c r="I20" s="26" t="inlineStr">
        <is>
          <t>Transportation</t>
        </is>
      </c>
      <c r="J20" s="28">
        <f>SUMIF($D$3:$D$72,I20,$E$3:$E$72)</f>
        <v/>
      </c>
    </row>
    <row r="21" ht="15" customHeight="1">
      <c r="A21" s="23" t="inlineStr">
        <is>
          <t>04/07/2026</t>
        </is>
      </c>
      <c r="B21" s="31" t="inlineStr"/>
      <c r="C21" s="23" t="inlineStr">
        <is>
          <t>ADP 401k Contribution</t>
        </is>
      </c>
      <c r="D21" s="23" t="inlineStr">
        <is>
          <t>Payroll-401k</t>
        </is>
      </c>
      <c r="E21" s="24" t="n">
        <v>30</v>
      </c>
      <c r="I21" s="23" t="inlineStr">
        <is>
          <t>Meals/Entertainment</t>
        </is>
      </c>
      <c r="J21" s="25">
        <f>SUMIF($D$3:$D$72,I21,$E$3:$E$72)</f>
        <v/>
      </c>
    </row>
    <row r="22" ht="15" customHeight="1">
      <c r="A22" s="26" t="inlineStr">
        <is>
          <t>04/07/2026</t>
        </is>
      </c>
      <c r="B22" s="32" t="inlineStr"/>
      <c r="C22" s="26" t="inlineStr">
        <is>
          <t>ADP Pay-By-Pay (Workers Comp)</t>
        </is>
      </c>
      <c r="D22" s="26" t="inlineStr">
        <is>
          <t>Payroll-Workers Comp</t>
        </is>
      </c>
      <c r="E22" s="27" t="n">
        <v>166.69</v>
      </c>
      <c r="I22" s="26" t="inlineStr">
        <is>
          <t>Miscellaneous</t>
        </is>
      </c>
      <c r="J22" s="28">
        <f>SUMIF($D$3:$D$72,I22,$E$3:$E$72)</f>
        <v/>
      </c>
    </row>
    <row r="23" ht="15" customHeight="1">
      <c r="A23" s="23" t="inlineStr">
        <is>
          <t>04/07/2026</t>
        </is>
      </c>
      <c r="B23" s="31" t="inlineStr"/>
      <c r="C23" s="23" t="inlineStr">
        <is>
          <t>FDMS Merchant Processing Fee</t>
        </is>
      </c>
      <c r="D23" s="23" t="inlineStr">
        <is>
          <t>Merchant Processing</t>
        </is>
      </c>
      <c r="E23" s="24" t="n">
        <v>4.95</v>
      </c>
      <c r="I23" s="23" t="inlineStr">
        <is>
          <t>Owner Draw</t>
        </is>
      </c>
      <c r="J23" s="25">
        <f>SUMIF($D$3:$D$72,I23,$E$3:$E$72)</f>
        <v/>
      </c>
    </row>
    <row r="24" ht="15" customHeight="1">
      <c r="A24" s="26" t="inlineStr">
        <is>
          <t>04/07/2026</t>
        </is>
      </c>
      <c r="B24" s="32" t="inlineStr"/>
      <c r="C24" s="26" t="inlineStr">
        <is>
          <t>LGND SOCAL</t>
        </is>
      </c>
      <c r="D24" s="26" t="inlineStr">
        <is>
          <t>Miscellaneous</t>
        </is>
      </c>
      <c r="E24" s="27" t="n">
        <v>130</v>
      </c>
      <c r="I24" s="26" t="inlineStr">
        <is>
          <t>Credit Card Payment</t>
        </is>
      </c>
      <c r="J24" s="28">
        <f>SUMIF($D$3:$D$72,I24,$E$3:$E$72)</f>
        <v/>
      </c>
    </row>
    <row r="25" ht="15" customHeight="1">
      <c r="A25" s="23" t="inlineStr">
        <is>
          <t>04/08/2026</t>
        </is>
      </c>
      <c r="B25" s="31" t="inlineStr"/>
      <c r="C25" s="23" t="inlineStr">
        <is>
          <t>CC Payment — Card 6514</t>
        </is>
      </c>
      <c r="D25" s="23" t="inlineStr">
        <is>
          <t>Credit Card Payment</t>
        </is>
      </c>
      <c r="E25" s="24" t="n">
        <v>1000</v>
      </c>
      <c r="I25" s="29" t="inlineStr">
        <is>
          <t>GRAND TOTAL</t>
        </is>
      </c>
      <c r="J25" s="30">
        <f>SUM(J3:J24)</f>
        <v/>
      </c>
    </row>
    <row r="26" ht="15" customHeight="1">
      <c r="A26" s="26" t="inlineStr">
        <is>
          <t>04/08/2026</t>
        </is>
      </c>
      <c r="B26" s="32" t="inlineStr"/>
      <c r="C26" s="26" t="inlineStr">
        <is>
          <t>FDMS Merchant Processing Fee</t>
        </is>
      </c>
      <c r="D26" s="26" t="inlineStr">
        <is>
          <t>Merchant Processing</t>
        </is>
      </c>
      <c r="E26" s="27" t="n">
        <v>37.71</v>
      </c>
    </row>
    <row r="27" ht="15" customHeight="1">
      <c r="A27" s="23" t="inlineStr">
        <is>
          <t>04/10/2026</t>
        </is>
      </c>
      <c r="B27" s="31" t="inlineStr"/>
      <c r="C27" s="23" t="inlineStr">
        <is>
          <t>ADP Payroll Processing Fee</t>
        </is>
      </c>
      <c r="D27" s="23" t="inlineStr">
        <is>
          <t>Payroll-Processing Fees</t>
        </is>
      </c>
      <c r="E27" s="24" t="n">
        <v>134.5</v>
      </c>
    </row>
    <row r="28" ht="15" customHeight="1">
      <c r="A28" s="26" t="inlineStr">
        <is>
          <t>04/10/2026</t>
        </is>
      </c>
      <c r="B28" s="32" t="inlineStr">
        <is>
          <t>4040</t>
        </is>
      </c>
      <c r="C28" s="26" t="inlineStr">
        <is>
          <t>U.S. Auto Force — Parts</t>
        </is>
      </c>
      <c r="D28" s="26" t="inlineStr">
        <is>
          <t>Inventory-Parts &amp; Supplies</t>
        </is>
      </c>
      <c r="E28" s="27" t="n">
        <v>659.96</v>
      </c>
    </row>
    <row r="29" ht="15" customHeight="1">
      <c r="A29" s="23" t="inlineStr">
        <is>
          <t>04/13/2026</t>
        </is>
      </c>
      <c r="B29" s="31" t="inlineStr"/>
      <c r="C29" s="23" t="inlineStr">
        <is>
          <t>ADP Wage Pay — Payroll</t>
        </is>
      </c>
      <c r="D29" s="23" t="inlineStr">
        <is>
          <t>Payroll-Wages</t>
        </is>
      </c>
      <c r="E29" s="24" t="n">
        <v>1976.32</v>
      </c>
    </row>
    <row r="30" ht="15" customHeight="1">
      <c r="A30" s="26" t="inlineStr">
        <is>
          <t>04/13/2026</t>
        </is>
      </c>
      <c r="B30" s="32" t="inlineStr"/>
      <c r="C30" s="26" t="inlineStr">
        <is>
          <t>ADP Tax Deposit</t>
        </is>
      </c>
      <c r="D30" s="26" t="inlineStr">
        <is>
          <t>Payroll-Payroll Taxes</t>
        </is>
      </c>
      <c r="E30" s="27" t="n">
        <v>607.6799999999999</v>
      </c>
    </row>
    <row r="31" ht="15" customHeight="1">
      <c r="A31" s="23" t="inlineStr">
        <is>
          <t>04/13/2026</t>
        </is>
      </c>
      <c r="B31" s="31" t="inlineStr"/>
      <c r="C31" s="23" t="inlineStr">
        <is>
          <t>ADP 401k Contribution</t>
        </is>
      </c>
      <c r="D31" s="23" t="inlineStr">
        <is>
          <t>Payroll-401k</t>
        </is>
      </c>
      <c r="E31" s="24" t="n">
        <v>30</v>
      </c>
    </row>
    <row r="32" ht="15" customHeight="1">
      <c r="A32" s="26" t="inlineStr">
        <is>
          <t>04/13/2026</t>
        </is>
      </c>
      <c r="B32" s="32" t="inlineStr"/>
      <c r="C32" s="26" t="inlineStr">
        <is>
          <t>AT&amp;T Phone</t>
        </is>
      </c>
      <c r="D32" s="26" t="inlineStr">
        <is>
          <t>Utilities-Phone</t>
        </is>
      </c>
      <c r="E32" s="27" t="n">
        <v>244.89</v>
      </c>
    </row>
    <row r="33" ht="15" customHeight="1">
      <c r="A33" s="23" t="inlineStr">
        <is>
          <t>04/13/2026</t>
        </is>
      </c>
      <c r="B33" s="31" t="inlineStr">
        <is>
          <t>4051</t>
        </is>
      </c>
      <c r="C33" s="23" t="inlineStr">
        <is>
          <t>Tire Outlet — Tire Purchase</t>
        </is>
      </c>
      <c r="D33" s="23" t="inlineStr">
        <is>
          <t>Inventory-Tires</t>
        </is>
      </c>
      <c r="E33" s="24" t="n">
        <v>1816</v>
      </c>
    </row>
    <row r="34" ht="15" customHeight="1">
      <c r="A34" s="26" t="inlineStr">
        <is>
          <t>04/13/2026</t>
        </is>
      </c>
      <c r="B34" s="32" t="inlineStr">
        <is>
          <t>4061</t>
        </is>
      </c>
      <c r="C34" s="26" t="inlineStr">
        <is>
          <t>Tire Outlet — Tire Purchase</t>
        </is>
      </c>
      <c r="D34" s="26" t="inlineStr">
        <is>
          <t>Inventory-Tires</t>
        </is>
      </c>
      <c r="E34" s="27" t="n">
        <v>1216</v>
      </c>
    </row>
    <row r="35" ht="15" customHeight="1">
      <c r="A35" s="23" t="inlineStr">
        <is>
          <t>04/13/2026</t>
        </is>
      </c>
      <c r="B35" s="31" t="inlineStr">
        <is>
          <t>4072</t>
        </is>
      </c>
      <c r="C35" s="23" t="inlineStr">
        <is>
          <t>Basil Hosmer — Rent</t>
        </is>
      </c>
      <c r="D35" s="23" t="inlineStr">
        <is>
          <t>Rent</t>
        </is>
      </c>
      <c r="E35" s="24" t="n">
        <v>3400</v>
      </c>
    </row>
    <row r="36" ht="15" customHeight="1">
      <c r="A36" s="26" t="inlineStr">
        <is>
          <t>04/13/2026</t>
        </is>
      </c>
      <c r="B36" s="32" t="inlineStr">
        <is>
          <t>4073</t>
        </is>
      </c>
      <c r="C36" s="26" t="inlineStr">
        <is>
          <t>Tire Outlet — Tire Purchase</t>
        </is>
      </c>
      <c r="D36" s="26" t="inlineStr">
        <is>
          <t>Inventory-Tires</t>
        </is>
      </c>
      <c r="E36" s="27" t="n">
        <v>1080</v>
      </c>
    </row>
    <row r="37" ht="15" customHeight="1">
      <c r="A37" s="23" t="inlineStr">
        <is>
          <t>04/13/2026</t>
        </is>
      </c>
      <c r="B37" s="31" t="inlineStr">
        <is>
          <t>4074</t>
        </is>
      </c>
      <c r="C37" s="23" t="inlineStr">
        <is>
          <t>U.S. Auto Force — Parts</t>
        </is>
      </c>
      <c r="D37" s="23" t="inlineStr">
        <is>
          <t>Inventory-Parts &amp; Supplies</t>
        </is>
      </c>
      <c r="E37" s="24" t="n">
        <v>120.12</v>
      </c>
    </row>
    <row r="38" ht="15" customHeight="1">
      <c r="A38" s="26" t="inlineStr">
        <is>
          <t>04/13/2026</t>
        </is>
      </c>
      <c r="B38" s="32" t="inlineStr">
        <is>
          <t>4075</t>
        </is>
      </c>
      <c r="C38" s="26" t="inlineStr">
        <is>
          <t>GW — Labor</t>
        </is>
      </c>
      <c r="D38" s="26" t="inlineStr">
        <is>
          <t>Labor/Subcontractors</t>
        </is>
      </c>
      <c r="E38" s="27" t="n">
        <v>110</v>
      </c>
    </row>
    <row r="39" ht="15" customHeight="1">
      <c r="A39" s="23" t="inlineStr">
        <is>
          <t>04/14/2026</t>
        </is>
      </c>
      <c r="B39" s="31" t="inlineStr"/>
      <c r="C39" s="23" t="inlineStr">
        <is>
          <t>ADP Pay-By-Pay (Workers Comp)</t>
        </is>
      </c>
      <c r="D39" s="23" t="inlineStr">
        <is>
          <t>Payroll-Workers Comp</t>
        </is>
      </c>
      <c r="E39" s="24" t="n">
        <v>86.75</v>
      </c>
    </row>
    <row r="40" ht="15" customHeight="1">
      <c r="A40" s="26" t="inlineStr">
        <is>
          <t>04/14/2026</t>
        </is>
      </c>
      <c r="B40" s="32" t="inlineStr">
        <is>
          <t>4076</t>
        </is>
      </c>
      <c r="C40" s="26" t="inlineStr">
        <is>
          <t>Tire Outlet — Tire Purchase</t>
        </is>
      </c>
      <c r="D40" s="26" t="inlineStr">
        <is>
          <t>Inventory-Tires</t>
        </is>
      </c>
      <c r="E40" s="27" t="n">
        <v>460</v>
      </c>
    </row>
    <row r="41" ht="15" customHeight="1">
      <c r="A41" s="23" t="inlineStr">
        <is>
          <t>04/14/2026</t>
        </is>
      </c>
      <c r="B41" s="31" t="inlineStr">
        <is>
          <t>4077</t>
        </is>
      </c>
      <c r="C41" s="23" t="inlineStr">
        <is>
          <t>GW — Labor</t>
        </is>
      </c>
      <c r="D41" s="23" t="inlineStr">
        <is>
          <t>Labor/Subcontractors</t>
        </is>
      </c>
      <c r="E41" s="24" t="n">
        <v>150</v>
      </c>
    </row>
    <row r="42" ht="15" customHeight="1">
      <c r="A42" s="26" t="inlineStr">
        <is>
          <t>04/15/2026</t>
        </is>
      </c>
      <c r="B42" s="32" t="inlineStr"/>
      <c r="C42" s="26" t="inlineStr">
        <is>
          <t>ADP Wage Pay — Payroll</t>
        </is>
      </c>
      <c r="D42" s="26" t="inlineStr">
        <is>
          <t>Payroll-Wages</t>
        </is>
      </c>
      <c r="E42" s="27" t="n">
        <v>1976.32</v>
      </c>
    </row>
    <row r="43" ht="15" customHeight="1">
      <c r="A43" s="23" t="inlineStr">
        <is>
          <t>04/16/2026</t>
        </is>
      </c>
      <c r="B43" s="31" t="inlineStr"/>
      <c r="C43" s="23" t="inlineStr">
        <is>
          <t>TAPCO Insurance — Business Insurance</t>
        </is>
      </c>
      <c r="D43" s="23" t="inlineStr">
        <is>
          <t>Insurance-Business</t>
        </is>
      </c>
      <c r="E43" s="24" t="n">
        <v>1138.82</v>
      </c>
    </row>
    <row r="44" ht="15" customHeight="1">
      <c r="A44" s="26" t="inlineStr">
        <is>
          <t>04/16/2026</t>
        </is>
      </c>
      <c r="B44" s="32" t="inlineStr"/>
      <c r="C44" s="26" t="inlineStr">
        <is>
          <t>TimePaymentcorp — Equipment Lease</t>
        </is>
      </c>
      <c r="D44" s="26" t="inlineStr">
        <is>
          <t>Equipment Lease</t>
        </is>
      </c>
      <c r="E44" s="27" t="n">
        <v>741.95</v>
      </c>
    </row>
    <row r="45" ht="15" customHeight="1">
      <c r="A45" s="23" t="inlineStr">
        <is>
          <t>04/16/2026</t>
        </is>
      </c>
      <c r="B45" s="31" t="inlineStr">
        <is>
          <t>4078</t>
        </is>
      </c>
      <c r="C45" s="23" t="inlineStr">
        <is>
          <t>Tire Parts — Parts Purchase</t>
        </is>
      </c>
      <c r="D45" s="23" t="inlineStr">
        <is>
          <t>Inventory-Parts &amp; Supplies</t>
        </is>
      </c>
      <c r="E45" s="24" t="n">
        <v>152.31</v>
      </c>
    </row>
    <row r="46" ht="15" customHeight="1">
      <c r="A46" s="26" t="inlineStr">
        <is>
          <t>04/17/2026</t>
        </is>
      </c>
      <c r="B46" s="32" t="inlineStr"/>
      <c r="C46" s="26" t="inlineStr">
        <is>
          <t>ADP Payroll Processing Fee</t>
        </is>
      </c>
      <c r="D46" s="26" t="inlineStr">
        <is>
          <t>Payroll-Processing Fees</t>
        </is>
      </c>
      <c r="E46" s="27" t="n">
        <v>134.5</v>
      </c>
    </row>
    <row r="47" ht="15" customHeight="1">
      <c r="A47" s="23" t="inlineStr">
        <is>
          <t>04/17/2026</t>
        </is>
      </c>
      <c r="B47" s="31" t="inlineStr"/>
      <c r="C47" s="23" t="inlineStr">
        <is>
          <t>Gladly Coffee</t>
        </is>
      </c>
      <c r="D47" s="23" t="inlineStr">
        <is>
          <t>Meals/Entertainment</t>
        </is>
      </c>
      <c r="E47" s="24" t="n">
        <v>27.32</v>
      </c>
    </row>
    <row r="48" ht="15" customHeight="1">
      <c r="A48" s="26" t="inlineStr">
        <is>
          <t>04/20/2026</t>
        </is>
      </c>
      <c r="B48" s="32" t="inlineStr"/>
      <c r="C48" s="26" t="inlineStr">
        <is>
          <t>ADP Wage Pay — Payroll</t>
        </is>
      </c>
      <c r="D48" s="26" t="inlineStr">
        <is>
          <t>Payroll-Wages</t>
        </is>
      </c>
      <c r="E48" s="27" t="n">
        <v>1976.32</v>
      </c>
    </row>
    <row r="49" ht="15" customHeight="1">
      <c r="A49" s="23" t="inlineStr">
        <is>
          <t>04/20/2026</t>
        </is>
      </c>
      <c r="B49" s="31" t="inlineStr"/>
      <c r="C49" s="23" t="inlineStr">
        <is>
          <t>ADP Tax Deposit</t>
        </is>
      </c>
      <c r="D49" s="23" t="inlineStr">
        <is>
          <t>Payroll-Payroll Taxes</t>
        </is>
      </c>
      <c r="E49" s="24" t="n">
        <v>607.6799999999999</v>
      </c>
    </row>
    <row r="50" ht="15" customHeight="1">
      <c r="A50" s="26" t="inlineStr">
        <is>
          <t>04/20/2026</t>
        </is>
      </c>
      <c r="B50" s="32" t="inlineStr">
        <is>
          <t>4079</t>
        </is>
      </c>
      <c r="C50" s="26" t="inlineStr">
        <is>
          <t>Tire Co — Tire Purchase</t>
        </is>
      </c>
      <c r="D50" s="26" t="inlineStr">
        <is>
          <t>Inventory-Tires</t>
        </is>
      </c>
      <c r="E50" s="27" t="n">
        <v>771.7</v>
      </c>
    </row>
    <row r="51" ht="15" customHeight="1">
      <c r="A51" s="23" t="inlineStr">
        <is>
          <t>04/21/2026</t>
        </is>
      </c>
      <c r="B51" s="31" t="inlineStr"/>
      <c r="C51" s="23" t="inlineStr">
        <is>
          <t>ADP 401k Contribution</t>
        </is>
      </c>
      <c r="D51" s="23" t="inlineStr">
        <is>
          <t>Payroll-401k</t>
        </is>
      </c>
      <c r="E51" s="24" t="n">
        <v>30</v>
      </c>
    </row>
    <row r="52" ht="15" customHeight="1">
      <c r="A52" s="26" t="inlineStr">
        <is>
          <t>04/21/2026</t>
        </is>
      </c>
      <c r="B52" s="32" t="inlineStr"/>
      <c r="C52" s="26" t="inlineStr">
        <is>
          <t>ADP Pay-By-Pay (Workers Comp)</t>
        </is>
      </c>
      <c r="D52" s="26" t="inlineStr">
        <is>
          <t>Payroll-Workers Comp</t>
        </is>
      </c>
      <c r="E52" s="27" t="n">
        <v>86.75</v>
      </c>
    </row>
    <row r="53" ht="15" customHeight="1">
      <c r="A53" s="23" t="inlineStr">
        <is>
          <t>04/21/2026</t>
        </is>
      </c>
      <c r="B53" s="31" t="inlineStr"/>
      <c r="C53" s="23" t="inlineStr">
        <is>
          <t>ADP Tax Deposit</t>
        </is>
      </c>
      <c r="D53" s="23" t="inlineStr">
        <is>
          <t>Payroll-Payroll Taxes</t>
        </is>
      </c>
      <c r="E53" s="24" t="n">
        <v>607.6799999999999</v>
      </c>
    </row>
    <row r="54" ht="15" customHeight="1">
      <c r="A54" s="26" t="inlineStr">
        <is>
          <t>04/22/2026</t>
        </is>
      </c>
      <c r="B54" s="32" t="inlineStr">
        <is>
          <t>4080</t>
        </is>
      </c>
      <c r="C54" s="26" t="inlineStr">
        <is>
          <t>U.S. Auto Force — Parts</t>
        </is>
      </c>
      <c r="D54" s="26" t="inlineStr">
        <is>
          <t>Inventory-Parts &amp; Supplies</t>
        </is>
      </c>
      <c r="E54" s="27" t="n">
        <v>153.76</v>
      </c>
    </row>
    <row r="55" ht="15" customHeight="1">
      <c r="A55" s="23" t="inlineStr">
        <is>
          <t>04/22/2026</t>
        </is>
      </c>
      <c r="B55" s="31" t="inlineStr">
        <is>
          <t>4081</t>
        </is>
      </c>
      <c r="C55" s="23" t="inlineStr">
        <is>
          <t>Tireco — Tire Purchase</t>
        </is>
      </c>
      <c r="D55" s="23" t="inlineStr">
        <is>
          <t>Inventory-Tires</t>
        </is>
      </c>
      <c r="E55" s="24" t="n">
        <v>318.8</v>
      </c>
    </row>
    <row r="56" ht="15" customHeight="1">
      <c r="A56" s="26" t="inlineStr">
        <is>
          <t>04/23/2026</t>
        </is>
      </c>
      <c r="B56" s="32" t="inlineStr">
        <is>
          <t>4082</t>
        </is>
      </c>
      <c r="C56" s="26" t="inlineStr">
        <is>
          <t>Tire Outlet — Tire Purchase</t>
        </is>
      </c>
      <c r="D56" s="26" t="inlineStr">
        <is>
          <t>Inventory-Tires</t>
        </is>
      </c>
      <c r="E56" s="27" t="n">
        <v>400</v>
      </c>
    </row>
    <row r="57" ht="15" customHeight="1">
      <c r="A57" s="23" t="inlineStr">
        <is>
          <t>04/24/2026</t>
        </is>
      </c>
      <c r="B57" s="31" t="inlineStr"/>
      <c r="C57" s="23" t="inlineStr">
        <is>
          <t>ADP Payroll Processing Fee</t>
        </is>
      </c>
      <c r="D57" s="23" t="inlineStr">
        <is>
          <t>Payroll-Processing Fees</t>
        </is>
      </c>
      <c r="E57" s="24" t="n">
        <v>134.5</v>
      </c>
    </row>
    <row r="58" ht="15" customHeight="1">
      <c r="A58" s="26" t="inlineStr">
        <is>
          <t>04/27/2026</t>
        </is>
      </c>
      <c r="B58" s="32" t="inlineStr"/>
      <c r="C58" s="26" t="inlineStr">
        <is>
          <t>ADP Wage Pay — Payroll</t>
        </is>
      </c>
      <c r="D58" s="26" t="inlineStr">
        <is>
          <t>Payroll-Wages</t>
        </is>
      </c>
      <c r="E58" s="27" t="n">
        <v>1976.32</v>
      </c>
    </row>
    <row r="59" ht="15" customHeight="1">
      <c r="A59" s="23" t="inlineStr">
        <is>
          <t>04/27/2026</t>
        </is>
      </c>
      <c r="B59" s="31" t="inlineStr"/>
      <c r="C59" s="23" t="inlineStr">
        <is>
          <t>ADP Tax Deposit</t>
        </is>
      </c>
      <c r="D59" s="23" t="inlineStr">
        <is>
          <t>Payroll-Payroll Taxes</t>
        </is>
      </c>
      <c r="E59" s="24" t="n">
        <v>607.6799999999999</v>
      </c>
    </row>
    <row r="60" ht="15" customHeight="1">
      <c r="A60" s="26" t="inlineStr">
        <is>
          <t>04/27/2026</t>
        </is>
      </c>
      <c r="B60" s="32" t="inlineStr"/>
      <c r="C60" s="26" t="inlineStr">
        <is>
          <t>Gladly Coffee</t>
        </is>
      </c>
      <c r="D60" s="26" t="inlineStr">
        <is>
          <t>Meals/Entertainment</t>
        </is>
      </c>
      <c r="E60" s="27" t="n">
        <v>5.39</v>
      </c>
    </row>
    <row r="61" ht="15" customHeight="1">
      <c r="A61" s="23" t="inlineStr">
        <is>
          <t>04/27/2026</t>
        </is>
      </c>
      <c r="B61" s="31" t="inlineStr">
        <is>
          <t>4083</t>
        </is>
      </c>
      <c r="C61" s="23" t="inlineStr">
        <is>
          <t>Tire Network — Tire Purchase</t>
        </is>
      </c>
      <c r="D61" s="23" t="inlineStr">
        <is>
          <t>Inventory-Tires</t>
        </is>
      </c>
      <c r="E61" s="24" t="n">
        <v>120</v>
      </c>
    </row>
    <row r="62" ht="15" customHeight="1">
      <c r="A62" s="26" t="inlineStr">
        <is>
          <t>04/28/2026</t>
        </is>
      </c>
      <c r="B62" s="32" t="inlineStr"/>
      <c r="C62" s="26" t="inlineStr">
        <is>
          <t>ADP 401k Contribution</t>
        </is>
      </c>
      <c r="D62" s="26" t="inlineStr">
        <is>
          <t>Payroll-401k</t>
        </is>
      </c>
      <c r="E62" s="27" t="n">
        <v>30</v>
      </c>
    </row>
    <row r="63" ht="15" customHeight="1">
      <c r="A63" s="23" t="inlineStr">
        <is>
          <t>04/28/2026</t>
        </is>
      </c>
      <c r="B63" s="31" t="inlineStr"/>
      <c r="C63" s="23" t="inlineStr">
        <is>
          <t>ADP Pay-By-Pay (Workers Comp)</t>
        </is>
      </c>
      <c r="D63" s="23" t="inlineStr">
        <is>
          <t>Payroll-Workers Comp</t>
        </is>
      </c>
      <c r="E63" s="24" t="n">
        <v>86.75</v>
      </c>
    </row>
    <row r="64" ht="15" customHeight="1">
      <c r="A64" s="26" t="inlineStr">
        <is>
          <t>04/28/2026</t>
        </is>
      </c>
      <c r="B64" s="32" t="inlineStr"/>
      <c r="C64" s="26" t="inlineStr">
        <is>
          <t>Snapdragon Stadium</t>
        </is>
      </c>
      <c r="D64" s="26" t="inlineStr">
        <is>
          <t>Meals/Entertainment</t>
        </is>
      </c>
      <c r="E64" s="27" t="n">
        <v>35.56</v>
      </c>
    </row>
    <row r="65" ht="15" customHeight="1">
      <c r="A65" s="23" t="inlineStr">
        <is>
          <t>04/28/2026</t>
        </is>
      </c>
      <c r="B65" s="31" t="inlineStr">
        <is>
          <t>4085</t>
        </is>
      </c>
      <c r="C65" s="23" t="inlineStr">
        <is>
          <t>Tire Network — Tire Purchase</t>
        </is>
      </c>
      <c r="D65" s="23" t="inlineStr">
        <is>
          <t>Inventory-Tires</t>
        </is>
      </c>
      <c r="E65" s="24" t="n">
        <v>228</v>
      </c>
    </row>
    <row r="66" ht="15" customHeight="1">
      <c r="A66" s="26" t="inlineStr">
        <is>
          <t>04/29/2026</t>
        </is>
      </c>
      <c r="B66" s="32" t="inlineStr"/>
      <c r="C66" s="26" t="inlineStr">
        <is>
          <t>SANDAG FasTrak — Toll</t>
        </is>
      </c>
      <c r="D66" s="26" t="inlineStr">
        <is>
          <t>Transportation</t>
        </is>
      </c>
      <c r="E66" s="27" t="n">
        <v>2.5</v>
      </c>
    </row>
    <row r="67" ht="15" customHeight="1">
      <c r="A67" s="23" t="inlineStr">
        <is>
          <t>04/29/2026</t>
        </is>
      </c>
      <c r="B67" s="31" t="inlineStr"/>
      <c r="C67" s="23" t="inlineStr">
        <is>
          <t>APG Wholesale — Parts</t>
        </is>
      </c>
      <c r="D67" s="23" t="inlineStr">
        <is>
          <t>Inventory-Parts &amp; Supplies</t>
        </is>
      </c>
      <c r="E67" s="24" t="n">
        <v>415.8</v>
      </c>
    </row>
    <row r="68" ht="15" customHeight="1">
      <c r="A68" s="26" t="inlineStr">
        <is>
          <t>04/29/2026</t>
        </is>
      </c>
      <c r="B68" s="32" t="inlineStr"/>
      <c r="C68" s="26" t="inlineStr">
        <is>
          <t>BMW El Cajon — Vehicle Repair</t>
        </is>
      </c>
      <c r="D68" s="26" t="inlineStr">
        <is>
          <t>Vehicle-Repairs</t>
        </is>
      </c>
      <c r="E68" s="27" t="n">
        <v>133.52</v>
      </c>
    </row>
    <row r="69" ht="15" customHeight="1">
      <c r="A69" s="23" t="inlineStr">
        <is>
          <t>04/29/2026</t>
        </is>
      </c>
      <c r="B69" s="31" t="inlineStr">
        <is>
          <t>4071</t>
        </is>
      </c>
      <c r="C69" s="23" t="inlineStr">
        <is>
          <t>Bureau of Auto Repair — License</t>
        </is>
      </c>
      <c r="D69" s="23" t="inlineStr">
        <is>
          <t>Licenses/Permits</t>
        </is>
      </c>
      <c r="E69" s="24" t="n">
        <v>250</v>
      </c>
    </row>
    <row r="70" ht="15" customHeight="1">
      <c r="A70" s="26" t="inlineStr">
        <is>
          <t>04/29/2026</t>
        </is>
      </c>
      <c r="B70" s="32" t="inlineStr">
        <is>
          <t>4087</t>
        </is>
      </c>
      <c r="C70" s="26" t="inlineStr">
        <is>
          <t>Tire Co — Tire Purchase</t>
        </is>
      </c>
      <c r="D70" s="26" t="inlineStr">
        <is>
          <t>Inventory-Tires</t>
        </is>
      </c>
      <c r="E70" s="27" t="n">
        <v>276.84</v>
      </c>
    </row>
    <row r="71" ht="15" customHeight="1">
      <c r="A71" s="23" t="inlineStr">
        <is>
          <t>04/30/2026</t>
        </is>
      </c>
      <c r="B71" s="31" t="inlineStr">
        <is>
          <t>4088</t>
        </is>
      </c>
      <c r="C71" s="23" t="inlineStr">
        <is>
          <t>U.S. Auto Force — Parts</t>
        </is>
      </c>
      <c r="D71" s="23" t="inlineStr">
        <is>
          <t>Inventory-Parts &amp; Supplies</t>
        </is>
      </c>
      <c r="E71" s="24" t="n">
        <v>786</v>
      </c>
    </row>
    <row r="72" ht="15" customHeight="1">
      <c r="A72" s="26" t="inlineStr">
        <is>
          <t>04/30/2026</t>
        </is>
      </c>
      <c r="B72" s="32" t="inlineStr">
        <is>
          <t>4092</t>
        </is>
      </c>
      <c r="C72" s="26" t="inlineStr">
        <is>
          <t>Owner Draw — Francisco Reyes</t>
        </is>
      </c>
      <c r="D72" s="26" t="inlineStr">
        <is>
          <t>Owner Draw</t>
        </is>
      </c>
      <c r="E72" s="27" t="n">
        <v>700</v>
      </c>
    </row>
    <row r="73" ht="16" customHeight="1">
      <c r="A73" s="29" t="inlineStr">
        <is>
          <t>TOTAL</t>
        </is>
      </c>
      <c r="B73" s="13" t="n"/>
      <c r="C73" s="13" t="n"/>
      <c r="D73" s="13" t="n"/>
      <c r="E73" s="30">
        <f>SUM(E3:E72)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6" customWidth="1" min="4" max="4"/>
    <col width="28" customWidth="1" min="5" max="5"/>
    <col width="6" customWidth="1" min="6" max="6"/>
    <col width="16" customWidth="1" min="7" max="7"/>
    <col width="4" customWidth="1" min="8" max="8"/>
    <col width="22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21" t="inlineStr">
        <is>
          <t>REYES TIRES, INC — CREDIT CARD TRANSACTIONS — APRIL 2026</t>
        </is>
      </c>
    </row>
    <row r="2" ht="16" customHeight="1">
      <c r="A2" s="3" t="inlineStr">
        <is>
          <t>Post Date</t>
        </is>
      </c>
      <c r="B2" s="3" t="inlineStr">
        <is>
          <t>Tx Date</t>
        </is>
      </c>
      <c r="C2" s="3" t="inlineStr">
        <is>
          <t>Account</t>
        </is>
      </c>
      <c r="D2" s="3" t="inlineStr">
        <is>
          <t>Description</t>
        </is>
      </c>
      <c r="E2" s="3" t="inlineStr">
        <is>
          <t>Category</t>
        </is>
      </c>
      <c r="F2" s="3" t="inlineStr">
        <is>
          <t>Flag</t>
        </is>
      </c>
      <c r="G2" s="3" t="inlineStr">
        <is>
          <t>Amount</t>
        </is>
      </c>
      <c r="I2" s="33" t="inlineStr">
        <is>
          <t>Card</t>
        </is>
      </c>
      <c r="J2" s="33" t="inlineStr">
        <is>
          <t>Limit</t>
        </is>
      </c>
      <c r="K2" s="33" t="inlineStr">
        <is>
          <t>Balance</t>
        </is>
      </c>
      <c r="L2" s="33" t="inlineStr">
        <is>
          <t>Available</t>
        </is>
      </c>
    </row>
    <row r="3" ht="15" customHeight="1">
      <c r="A3" s="34" t="inlineStr">
        <is>
          <t>04/01/2026</t>
        </is>
      </c>
      <c r="B3" s="34" t="inlineStr">
        <is>
          <t>04/01/2026</t>
        </is>
      </c>
      <c r="C3" s="34" t="inlineStr">
        <is>
          <t>...0214</t>
        </is>
      </c>
      <c r="D3" s="34" t="inlineStr">
        <is>
          <t>SDFC Team Gym</t>
        </is>
      </c>
      <c r="E3" s="34" t="inlineStr">
        <is>
          <t>Personal - Gym</t>
        </is>
      </c>
      <c r="F3" s="35" t="inlineStr">
        <is>
          <t>⚠️</t>
        </is>
      </c>
      <c r="G3" s="36" t="n">
        <v>46.08</v>
      </c>
      <c r="I3" s="23" t="inlineStr">
        <is>
          <t>...0214 (F. Reyes)</t>
        </is>
      </c>
      <c r="J3" s="24" t="n">
        <v>4000</v>
      </c>
      <c r="K3" s="24" t="n">
        <v>3807.94</v>
      </c>
      <c r="L3" s="25">
        <f>J3-K3</f>
        <v/>
      </c>
    </row>
    <row r="4" ht="15" customHeight="1">
      <c r="A4" s="34" t="inlineStr">
        <is>
          <t>04/03/2026</t>
        </is>
      </c>
      <c r="B4" s="34" t="inlineStr">
        <is>
          <t>04/02/2026</t>
        </is>
      </c>
      <c r="C4" s="34" t="inlineStr">
        <is>
          <t>...0214</t>
        </is>
      </c>
      <c r="D4" s="34" t="inlineStr">
        <is>
          <t>Apple.com</t>
        </is>
      </c>
      <c r="E4" s="34" t="inlineStr">
        <is>
          <t>Personal - Subscriptions</t>
        </is>
      </c>
      <c r="F4" s="35" t="inlineStr">
        <is>
          <t>⚠️</t>
        </is>
      </c>
      <c r="G4" s="36" t="n">
        <v>9.99</v>
      </c>
      <c r="I4" s="26" t="inlineStr">
        <is>
          <t>...0539</t>
        </is>
      </c>
      <c r="J4" s="27" t="n">
        <v>38000</v>
      </c>
      <c r="K4" s="27" t="n">
        <v>2990.95</v>
      </c>
      <c r="L4" s="28">
        <f>J4-K4</f>
        <v/>
      </c>
    </row>
    <row r="5" ht="15" customHeight="1">
      <c r="A5" s="34" t="inlineStr">
        <is>
          <t>04/05/2026</t>
        </is>
      </c>
      <c r="B5" s="34" t="inlineStr">
        <is>
          <t>04/04/2026</t>
        </is>
      </c>
      <c r="C5" s="34" t="inlineStr">
        <is>
          <t>...0214</t>
        </is>
      </c>
      <c r="D5" s="34" t="inlineStr">
        <is>
          <t>SDFC Team Gym</t>
        </is>
      </c>
      <c r="E5" s="34" t="inlineStr">
        <is>
          <t>Personal - Gym</t>
        </is>
      </c>
      <c r="F5" s="35" t="inlineStr">
        <is>
          <t>⚠️</t>
        </is>
      </c>
      <c r="G5" s="36" t="n">
        <v>503.79</v>
      </c>
      <c r="I5" s="23" t="inlineStr">
        <is>
          <t>...6514</t>
        </is>
      </c>
      <c r="J5" s="24" t="n">
        <v>47000</v>
      </c>
      <c r="K5" s="24" t="n">
        <v>4546.94</v>
      </c>
      <c r="L5" s="25">
        <f>J5-K5</f>
        <v/>
      </c>
    </row>
    <row r="6" ht="16" customHeight="1">
      <c r="A6" s="34" t="inlineStr">
        <is>
          <t>04/06/2026</t>
        </is>
      </c>
      <c r="B6" s="34" t="inlineStr">
        <is>
          <t>04/05/2026</t>
        </is>
      </c>
      <c r="C6" s="34" t="inlineStr">
        <is>
          <t>...0214</t>
        </is>
      </c>
      <c r="D6" s="34" t="inlineStr">
        <is>
          <t>Amazon Digital</t>
        </is>
      </c>
      <c r="E6" s="34" t="inlineStr">
        <is>
          <t>Personal - Subscriptions</t>
        </is>
      </c>
      <c r="F6" s="35" t="inlineStr">
        <is>
          <t>⚠️</t>
        </is>
      </c>
      <c r="G6" s="36" t="n">
        <v>12.99</v>
      </c>
      <c r="I6" s="29" t="inlineStr">
        <is>
          <t>TOTAL</t>
        </is>
      </c>
      <c r="J6" s="30">
        <f>SUM(J3:J5)</f>
        <v/>
      </c>
      <c r="K6" s="30">
        <f>SUM(K3:K5)</f>
        <v/>
      </c>
      <c r="L6" s="30">
        <f>SUM(L3:L5)</f>
        <v/>
      </c>
    </row>
    <row r="7" ht="15" customHeight="1">
      <c r="A7" s="34" t="inlineStr">
        <is>
          <t>04/07/2026</t>
        </is>
      </c>
      <c r="B7" s="34" t="inlineStr">
        <is>
          <t>04/06/2026</t>
        </is>
      </c>
      <c r="C7" s="34" t="inlineStr">
        <is>
          <t>...0214</t>
        </is>
      </c>
      <c r="D7" s="34" t="inlineStr">
        <is>
          <t>Amazon Digital</t>
        </is>
      </c>
      <c r="E7" s="34" t="inlineStr">
        <is>
          <t>Personal - Subscriptions</t>
        </is>
      </c>
      <c r="F7" s="35" t="inlineStr">
        <is>
          <t>⚠️</t>
        </is>
      </c>
      <c r="G7" s="36" t="n">
        <v>2.99</v>
      </c>
    </row>
    <row r="8" ht="15" customHeight="1">
      <c r="A8" s="34" t="inlineStr">
        <is>
          <t>04/08/2026</t>
        </is>
      </c>
      <c r="B8" s="34" t="inlineStr">
        <is>
          <t>04/07/2026</t>
        </is>
      </c>
      <c r="C8" s="34" t="inlineStr">
        <is>
          <t>...0214</t>
        </is>
      </c>
      <c r="D8" s="34" t="inlineStr">
        <is>
          <t>Amazon Prime</t>
        </is>
      </c>
      <c r="E8" s="34" t="inlineStr">
        <is>
          <t>Personal - Subscriptions</t>
        </is>
      </c>
      <c r="F8" s="35" t="inlineStr">
        <is>
          <t>⚠️</t>
        </is>
      </c>
      <c r="G8" s="36" t="n">
        <v>16.15</v>
      </c>
    </row>
    <row r="9" ht="15" customHeight="1">
      <c r="A9" s="34" t="inlineStr">
        <is>
          <t>04/09/2026</t>
        </is>
      </c>
      <c r="B9" s="34" t="inlineStr">
        <is>
          <t>04/08/2026</t>
        </is>
      </c>
      <c r="C9" s="34" t="inlineStr">
        <is>
          <t>...0214</t>
        </is>
      </c>
      <c r="D9" s="34" t="inlineStr">
        <is>
          <t>ESPN+</t>
        </is>
      </c>
      <c r="E9" s="34" t="inlineStr">
        <is>
          <t>Personal - Subscriptions</t>
        </is>
      </c>
      <c r="F9" s="35" t="inlineStr">
        <is>
          <t>⚠️</t>
        </is>
      </c>
      <c r="G9" s="36" t="n">
        <v>19.99</v>
      </c>
    </row>
    <row r="10" ht="15" customHeight="1">
      <c r="A10" s="34" t="inlineStr">
        <is>
          <t>04/10/2026</t>
        </is>
      </c>
      <c r="B10" s="34" t="inlineStr">
        <is>
          <t>04/09/2026</t>
        </is>
      </c>
      <c r="C10" s="34" t="inlineStr">
        <is>
          <t>...0214</t>
        </is>
      </c>
      <c r="D10" s="34" t="inlineStr">
        <is>
          <t>Apple.com</t>
        </is>
      </c>
      <c r="E10" s="34" t="inlineStr">
        <is>
          <t>Personal - Subscriptions</t>
        </is>
      </c>
      <c r="F10" s="35" t="inlineStr">
        <is>
          <t>⚠️</t>
        </is>
      </c>
      <c r="G10" s="36" t="n">
        <v>22.98</v>
      </c>
    </row>
    <row r="11" ht="15" customHeight="1">
      <c r="A11" s="34" t="inlineStr">
        <is>
          <t>04/11/2026</t>
        </is>
      </c>
      <c r="B11" s="34" t="inlineStr">
        <is>
          <t>04/10/2026</t>
        </is>
      </c>
      <c r="C11" s="34" t="inlineStr">
        <is>
          <t>...0214</t>
        </is>
      </c>
      <c r="D11" s="34" t="inlineStr">
        <is>
          <t>Amazon Digital</t>
        </is>
      </c>
      <c r="E11" s="34" t="inlineStr">
        <is>
          <t>Personal - Subscriptions</t>
        </is>
      </c>
      <c r="F11" s="35" t="inlineStr">
        <is>
          <t>⚠️</t>
        </is>
      </c>
      <c r="G11" s="36" t="n">
        <v>16.99</v>
      </c>
    </row>
    <row r="12" ht="15" customHeight="1">
      <c r="A12" s="34" t="inlineStr">
        <is>
          <t>04/12/2026</t>
        </is>
      </c>
      <c r="B12" s="34" t="inlineStr">
        <is>
          <t>04/11/2026</t>
        </is>
      </c>
      <c r="C12" s="34" t="inlineStr">
        <is>
          <t>...0214</t>
        </is>
      </c>
      <c r="D12" s="34" t="inlineStr">
        <is>
          <t>Amazon Digital</t>
        </is>
      </c>
      <c r="E12" s="34" t="inlineStr">
        <is>
          <t>Personal - Subscriptions</t>
        </is>
      </c>
      <c r="F12" s="35" t="inlineStr">
        <is>
          <t>⚠️</t>
        </is>
      </c>
      <c r="G12" s="36" t="n">
        <v>2.99</v>
      </c>
    </row>
    <row r="13" ht="15" customHeight="1">
      <c r="A13" s="34" t="inlineStr">
        <is>
          <t>04/14/2026</t>
        </is>
      </c>
      <c r="B13" s="34" t="inlineStr">
        <is>
          <t>04/13/2026</t>
        </is>
      </c>
      <c r="C13" s="34" t="inlineStr">
        <is>
          <t>...0214</t>
        </is>
      </c>
      <c r="D13" s="34" t="inlineStr">
        <is>
          <t>SDFC Team Gym</t>
        </is>
      </c>
      <c r="E13" s="34" t="inlineStr">
        <is>
          <t>Personal - Gym</t>
        </is>
      </c>
      <c r="F13" s="35" t="inlineStr">
        <is>
          <t>⚠️</t>
        </is>
      </c>
      <c r="G13" s="36" t="n">
        <v>432.33</v>
      </c>
    </row>
    <row r="14" ht="15" customHeight="1">
      <c r="A14" s="34" t="inlineStr">
        <is>
          <t>04/15/2026</t>
        </is>
      </c>
      <c r="B14" s="34" t="inlineStr">
        <is>
          <t>04/14/2026</t>
        </is>
      </c>
      <c r="C14" s="34" t="inlineStr">
        <is>
          <t>...0214</t>
        </is>
      </c>
      <c r="D14" s="34" t="inlineStr">
        <is>
          <t>Amazon Digital</t>
        </is>
      </c>
      <c r="E14" s="34" t="inlineStr">
        <is>
          <t>Personal - Subscriptions</t>
        </is>
      </c>
      <c r="F14" s="35" t="inlineStr">
        <is>
          <t>⚠️</t>
        </is>
      </c>
      <c r="G14" s="36" t="n">
        <v>19.99</v>
      </c>
    </row>
    <row r="15" ht="15" customHeight="1">
      <c r="A15" s="23" t="inlineStr">
        <is>
          <t>04/18/2026</t>
        </is>
      </c>
      <c r="B15" s="23" t="inlineStr">
        <is>
          <t>04/17/2026</t>
        </is>
      </c>
      <c r="C15" s="23" t="inlineStr">
        <is>
          <t>...0214</t>
        </is>
      </c>
      <c r="D15" s="23" t="inlineStr">
        <is>
          <t>Cox Communications</t>
        </is>
      </c>
      <c r="E15" s="23" t="inlineStr">
        <is>
          <t>Utilities - Internet</t>
        </is>
      </c>
      <c r="F15" s="31" t="inlineStr"/>
      <c r="G15" s="24" t="n">
        <v>110.17</v>
      </c>
    </row>
    <row r="16" ht="15" customHeight="1">
      <c r="A16" s="26" t="inlineStr">
        <is>
          <t>04/20/2026</t>
        </is>
      </c>
      <c r="B16" s="26" t="inlineStr">
        <is>
          <t>04/19/2026</t>
        </is>
      </c>
      <c r="C16" s="26" t="inlineStr">
        <is>
          <t>...0214</t>
        </is>
      </c>
      <c r="D16" s="26" t="inlineStr">
        <is>
          <t>Infinity Kat</t>
        </is>
      </c>
      <c r="E16" s="26" t="inlineStr">
        <is>
          <t>Miscellaneous (Review)</t>
        </is>
      </c>
      <c r="F16" s="32" t="inlineStr"/>
      <c r="G16" s="27" t="n">
        <v>400.6</v>
      </c>
    </row>
    <row r="17" ht="15" customHeight="1">
      <c r="A17" s="23" t="inlineStr">
        <is>
          <t>04/22/2026</t>
        </is>
      </c>
      <c r="B17" s="23" t="inlineStr">
        <is>
          <t>04/21/2026</t>
        </is>
      </c>
      <c r="C17" s="23" t="inlineStr">
        <is>
          <t>...0214</t>
        </is>
      </c>
      <c r="D17" s="23" t="inlineStr">
        <is>
          <t>A to Z Tax Firm</t>
        </is>
      </c>
      <c r="E17" s="23" t="inlineStr">
        <is>
          <t>Professional Services - Tax Prep</t>
        </is>
      </c>
      <c r="F17" s="31" t="inlineStr"/>
      <c r="G17" s="24" t="n">
        <v>420</v>
      </c>
    </row>
    <row r="18" ht="15" customHeight="1">
      <c r="A18" s="26" t="inlineStr">
        <is>
          <t>04/30/2026</t>
        </is>
      </c>
      <c r="B18" s="26" t="inlineStr">
        <is>
          <t>04/30/2026</t>
        </is>
      </c>
      <c r="C18" s="26" t="inlineStr">
        <is>
          <t>...0214</t>
        </is>
      </c>
      <c r="D18" s="26" t="inlineStr">
        <is>
          <t>Finance Charge</t>
        </is>
      </c>
      <c r="E18" s="26" t="inlineStr">
        <is>
          <t>Finance Charges</t>
        </is>
      </c>
      <c r="F18" s="32" t="inlineStr"/>
      <c r="G18" s="27" t="n">
        <v>63.07</v>
      </c>
    </row>
    <row r="19" ht="15" customHeight="1">
      <c r="A19" s="23" t="inlineStr">
        <is>
          <t>04/30/2026</t>
        </is>
      </c>
      <c r="B19" s="23" t="inlineStr">
        <is>
          <t>04/30/2026</t>
        </is>
      </c>
      <c r="C19" s="23" t="inlineStr">
        <is>
          <t>...0539</t>
        </is>
      </c>
      <c r="D19" s="23" t="inlineStr">
        <is>
          <t>Finance Charge</t>
        </is>
      </c>
      <c r="E19" s="23" t="inlineStr">
        <is>
          <t>Finance Charges</t>
        </is>
      </c>
      <c r="F19" s="31" t="inlineStr"/>
      <c r="G19" s="24" t="n">
        <v>51.72</v>
      </c>
    </row>
    <row r="20" ht="15" customHeight="1">
      <c r="A20" s="26" t="inlineStr">
        <is>
          <t>04/15/2026</t>
        </is>
      </c>
      <c r="B20" s="26" t="inlineStr">
        <is>
          <t>04/14/2026</t>
        </is>
      </c>
      <c r="C20" s="26" t="inlineStr">
        <is>
          <t>...6514</t>
        </is>
      </c>
      <c r="D20" s="26" t="inlineStr">
        <is>
          <t>ADT Security Services</t>
        </is>
      </c>
      <c r="E20" s="26" t="inlineStr">
        <is>
          <t>Security System</t>
        </is>
      </c>
      <c r="F20" s="32" t="inlineStr"/>
      <c r="G20" s="27" t="n">
        <v>98.08</v>
      </c>
    </row>
    <row r="21" ht="15" customHeight="1">
      <c r="A21" s="23" t="inlineStr">
        <is>
          <t>04/30/2026</t>
        </is>
      </c>
      <c r="B21" s="23" t="inlineStr">
        <is>
          <t>04/30/2026</t>
        </is>
      </c>
      <c r="C21" s="23" t="inlineStr">
        <is>
          <t>...6514</t>
        </is>
      </c>
      <c r="D21" s="23" t="inlineStr">
        <is>
          <t>Finance Charge</t>
        </is>
      </c>
      <c r="E21" s="23" t="inlineStr">
        <is>
          <t>Finance Charges</t>
        </is>
      </c>
      <c r="F21" s="31" t="inlineStr"/>
      <c r="G21" s="24" t="n">
        <v>96.97</v>
      </c>
    </row>
    <row r="22" ht="16" customHeight="1">
      <c r="A22" s="29" t="inlineStr">
        <is>
          <t>TOTAL</t>
        </is>
      </c>
      <c r="B22" s="13" t="n"/>
      <c r="C22" s="13" t="n"/>
      <c r="D22" s="13" t="n"/>
      <c r="E22" s="13" t="n"/>
      <c r="F22" s="13" t="n"/>
      <c r="G22" s="30">
        <f>SUM(G3:G21)</f>
        <v/>
      </c>
    </row>
    <row r="24" ht="28" customHeight="1">
      <c r="A24" s="19" t="inlineStr">
        <is>
          <t>⚠️ Yellow rows = Personal charges on business cards. Total personal charges: ~$1,107.26. Require owner reclassification / reimbursement.</t>
        </is>
      </c>
    </row>
  </sheetData>
  <mergeCells count="2">
    <mergeCell ref="A24:G2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2026-05-29T00:51:56Z</dcterms:created>
  <dcterms:modified xsi:type="dcterms:W3CDTF">2026-05-29T00:51:56Z</dcterms:modified>
</cp:coreProperties>
</file>